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8ecd8db51644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7251127a09047b4"/>
    <x:sheet xmlns:r="http://schemas.openxmlformats.org/officeDocument/2006/relationships" name="WBS Dictionary" sheetId="2" r:id="R1ea8e6c1b2f44310"/>
    <x:sheet xmlns:r="http://schemas.openxmlformats.org/officeDocument/2006/relationships" name="WBS Summary" sheetId="3" r:id="R3ca34194abbc4b70"/>
    <x:sheet xmlns:r="http://schemas.openxmlformats.org/officeDocument/2006/relationships" name="Lists" sheetId="4" r:id="R893a8407a2ed43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3">
    <x:font>
      <x:sz val="11"/>
      <x:name val="Carlito"/>
    </x:font>
    <x:font>
      <x:b/>
      <x:sz val="16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17d2b919834752" /><Relationship Type="http://schemas.openxmlformats.org/officeDocument/2006/relationships/theme" Target="/xl/theme/theme1.xml" Id="Re36727fae0e54f40" /><Relationship Type="http://schemas.openxmlformats.org/officeDocument/2006/relationships/sharedStrings" Target="/xl/sharedStrings.xml" Id="R72cb48add5f04c7e" /><Relationship Type="http://schemas.openxmlformats.org/officeDocument/2006/relationships/worksheet" Target="/xl/worksheets/sheet1.xml" Id="R37251127a09047b4" /><Relationship Type="http://schemas.openxmlformats.org/officeDocument/2006/relationships/worksheet" Target="/xl/worksheets/sheet2.xml" Id="R1ea8e6c1b2f44310" /><Relationship Type="http://schemas.openxmlformats.org/officeDocument/2006/relationships/worksheet" Target="/xl/worksheets/sheet3.xml" Id="R3ca34194abbc4b70" /><Relationship Type="http://schemas.openxmlformats.org/officeDocument/2006/relationships/worksheet" Target="/xl/worksheets/sheet4.xml" Id="R893a8407a2ed434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9bc205c2c25421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Work Packages by Control Account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Work Package Count</c:v>
          </c:tx>
          <c:cat>
            <c:strRef>
              <c:f>'WBS Summary'!$A$4:$A$11</c:f>
              <c:strCache>
                <c:ptCount val="0"/>
              </c:strCache>
            </c:strRef>
          </c:cat>
          <c:val>
            <c:numRef>
              <c:f>'WBS Summary'!$B$4:$B$11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bc205c2c25421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BSDictionaryTable" displayName="WBSDictionaryTable" ref="A1:P64" headerRowCount="1" totalsRowCount="0" totalsRowShown="0">
  <x:tableColumns count="16">
    <x:tableColumn id="1" name="WBS ID"/>
    <x:tableColumn id="2" name="Level 1 Control Account"/>
    <x:tableColumn id="3" name="Level 2 Component"/>
    <x:tableColumn id="4" name="Work Package"/>
    <x:tableColumn id="5" name="Workstream"/>
    <x:tableColumn id="6" name="Description / Scope of Work"/>
    <x:tableColumn id="7" name="Primary Deliverable(s)"/>
    <x:tableColumn id="8" name="Acceptance Criteria"/>
    <x:tableColumn id="9" name="Primary Owner"/>
    <x:tableColumn id="10" name="Acceptance Authority"/>
    <x:tableColumn id="11" name="Key Predecessor / Dependency"/>
    <x:tableColumn id="12" name="Related Requirement IDs"/>
    <x:tableColumn id="13" name="Planning Assumptions"/>
    <x:tableColumn id="14" name="Primary Cost Category"/>
    <x:tableColumn id="15" name="Schedule / Milestone Link"/>
    <x:tableColumn id="1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bdb729268442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7c38abc41c7440b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24" hidden="0" customWidth="1"/>
    <x:col min="4" max="4" width="24" hidden="0" customWidth="1"/>
  </x:cols>
  <x:sheetData>
    <x:row r="1">
      <x:c r="A1" s="18" t="str">
        <x:v>Project Atlas — WBS Dictionary</x:v>
      </x:c>
      <x:c r="B1" s="18"/>
      <x:c r="C1" s="18"/>
      <x:c r="D1" s="18"/>
      <x:c r="E1" s="18"/>
      <x:c r="F1" s="18"/>
      <x:c r="G1" s="18"/>
      <x:c r="H1" s="18"/>
    </x:row>
    <x:row r="2">
      <x:c r="A2" s="19"/>
      <x:c r="B2" s="19"/>
      <x:c r="C2" s="19"/>
      <x:c r="D2" s="19"/>
      <x:c r="E2" s="19"/>
      <x:c r="F2" s="19"/>
      <x:c r="G2" s="19"/>
      <x:c r="H2" s="19"/>
    </x:row>
    <x:row r="3">
      <x:c r="A3" s="11" t="str">
        <x:v>Project</x:v>
      </x:c>
      <x:c r="B3" s="19" t="str">
        <x:v>Project Atlas</x:v>
      </x:c>
      <x:c r="C3" s="19"/>
      <x:c r="D3" s="19"/>
      <x:c r="E3" s="19"/>
      <x:c r="F3" s="19"/>
      <x:c r="G3" s="19"/>
      <x:c r="H3" s="19"/>
    </x:row>
    <x:row r="4">
      <x:c r="A4" s="11" t="str">
        <x:v>Artifact</x:v>
      </x:c>
      <x:c r="B4" s="19" t="str">
        <x:v>Work Breakdown Structure Dictionary</x:v>
      </x:c>
      <x:c r="C4" s="19"/>
      <x:c r="D4" s="19"/>
      <x:c r="E4" s="19"/>
      <x:c r="F4" s="19"/>
      <x:c r="G4" s="19"/>
      <x:c r="H4" s="19"/>
    </x:row>
    <x:row r="5">
      <x:c r="A5" s="11" t="str">
        <x:v>Delivery Model</x:v>
      </x:c>
      <x:c r="B5" s="19" t="str">
        <x:v>Predictive / Waterfall</x:v>
      </x:c>
      <x:c r="C5" s="19"/>
      <x:c r="D5" s="19"/>
      <x:c r="E5" s="19"/>
      <x:c r="F5" s="19"/>
      <x:c r="G5" s="19"/>
      <x:c r="H5" s="19"/>
    </x:row>
    <x:row r="6">
      <x:c r="A6" s="11" t="str">
        <x:v>Baseline Version</x:v>
      </x:c>
      <x:c r="B6" s="19" t="str">
        <x:v>1.0</x:v>
      </x:c>
      <x:c r="C6" s="19"/>
      <x:c r="D6" s="19"/>
      <x:c r="E6" s="19"/>
      <x:c r="F6" s="19"/>
      <x:c r="G6" s="19"/>
      <x:c r="H6" s="19"/>
    </x:row>
    <x:row r="7">
      <x:c r="A7" s="11" t="str">
        <x:v>Current Stage</x:v>
      </x:c>
      <x:c r="B7" s="19" t="str">
        <x:v>Planning</x:v>
      </x:c>
      <x:c r="C7" s="19"/>
      <x:c r="D7" s="19"/>
      <x:c r="E7" s="19"/>
      <x:c r="F7" s="19"/>
      <x:c r="G7" s="19"/>
      <x:c r="H7" s="19"/>
    </x:row>
    <x:row r="8">
      <x:c r="A8" s="11" t="str">
        <x:v>Purpose</x:v>
      </x:c>
      <x:c r="B8" s="19" t="str">
        <x:v>Define the content, ownership, acceptance, dependencies, requirements linkage, and planning assumptions for WBS work packages.</x:v>
      </x:c>
      <x:c r="C8" s="19"/>
      <x:c r="D8" s="19"/>
      <x:c r="E8" s="19"/>
      <x:c r="F8" s="19"/>
      <x:c r="G8" s="19"/>
      <x:c r="H8" s="19"/>
    </x:row>
    <x:row r="9">
      <x:c r="A9" s="11" t="str">
        <x:v>Scope Baseline</x:v>
      </x:c>
      <x:c r="B9" s="19" t="str">
        <x:v>Scope Statement + WBS + WBS Dictionary</x:v>
      </x:c>
      <x:c r="C9" s="19"/>
      <x:c r="D9" s="19"/>
      <x:c r="E9" s="19"/>
      <x:c r="F9" s="19"/>
      <x:c r="G9" s="19"/>
      <x:c r="H9" s="19"/>
    </x:row>
    <x:row r="10">
      <x:c r="A10" s="11" t="str">
        <x:v>Cost Baseline / BAC</x:v>
      </x:c>
      <x:c r="B10" s="19" t="str">
        <x:v>₹2.40 Crore</x:v>
      </x:c>
      <x:c r="C10" s="19"/>
      <x:c r="D10" s="19"/>
      <x:c r="E10" s="19"/>
      <x:c r="F10" s="19"/>
      <x:c r="G10" s="19"/>
      <x:c r="H10" s="19"/>
    </x:row>
    <x:row r="11">
      <x:c r="A11" s="11" t="str">
        <x:v>Total Authorized Budget</x:v>
      </x:c>
      <x:c r="B11" s="19" t="str">
        <x:v>₹2.55 Crore</x:v>
      </x:c>
      <x:c r="C11" s="19"/>
      <x:c r="D11" s="19"/>
      <x:c r="E11" s="19"/>
      <x:c r="F11" s="19"/>
      <x:c r="G11" s="19"/>
      <x:c r="H11" s="19"/>
    </x:row>
    <x:row r="12">
      <x:c r="A12" s="11" t="str">
        <x:v>Work Package Coding</x:v>
      </x:c>
      <x:c r="B12" s="19" t="str">
        <x:v>WBS IDs in this workbook will be reused by schedule, resource, budget, RAID, and EVM artifacts.</x:v>
      </x:c>
      <x:c r="C12" s="19"/>
      <x:c r="D12" s="19"/>
      <x:c r="E12" s="19"/>
      <x:c r="F12" s="19"/>
      <x:c r="G12" s="19"/>
      <x:c r="H12" s="19"/>
    </x:row>
    <x:row r="13">
      <x:c r="A13" s="11" t="str">
        <x:v>Control Principle</x:v>
      </x:c>
      <x:c r="B13" s="19" t="str">
        <x:v>Material changes to baselined WBS content require integrated change control.</x:v>
      </x:c>
      <x:c r="C13" s="19"/>
      <x:c r="D13" s="19"/>
      <x:c r="E13" s="19"/>
      <x:c r="F13" s="19"/>
      <x:c r="G13" s="19"/>
      <x:c r="H13" s="19"/>
    </x:row>
    <x:row r="14">
      <x:c r="A14" s="11" t="str">
        <x:v>Portfolio Note</x:v>
      </x:c>
      <x:c r="B14" s="19" t="str">
        <x:v>All project data are synthetic and used only for portfolio demonstration.</x:v>
      </x:c>
      <x:c r="C14" s="19"/>
      <x:c r="D14" s="19"/>
      <x:c r="E14" s="19"/>
      <x:c r="F14" s="19"/>
      <x:c r="G14" s="19"/>
      <x:c r="H14" s="19"/>
    </x:row>
    <x:row r="15">
      <x:c r="A15" s="11" t="str">
        <x:v>Next Planning Step</x:v>
      </x:c>
      <x:c r="B15" s="19" t="str">
        <x:v>Integrated Project Schedule, followed by resource and cost planning.</x:v>
      </x:c>
      <x:c r="C15" s="19"/>
      <x:c r="D15" s="19"/>
      <x:c r="E15" s="19"/>
      <x:c r="F15" s="19"/>
      <x:c r="G15" s="19"/>
      <x:c r="H15" s="19"/>
    </x:row>
    <x:row r="16">
      <x:c r="A16" s="19"/>
      <x:c r="B16" s="19"/>
      <x:c r="C16" s="19"/>
      <x:c r="D16" s="19"/>
      <x:c r="E16" s="19"/>
      <x:c r="F16" s="19"/>
      <x:c r="G16" s="19"/>
      <x:c r="H16" s="19"/>
    </x:row>
    <x:row r="17">
      <x:c r="A17" s="15" t="str">
        <x:v>KPI</x:v>
      </x:c>
      <x:c r="B17" s="15" t="str">
        <x:v>Value</x:v>
      </x:c>
      <x:c r="C17" s="15" t="str">
        <x:v>Meaning</x:v>
      </x:c>
      <x:c r="D17" s="15" t="str">
        <x:v>Target / Note</x:v>
      </x:c>
      <x:c r="E17" s="19"/>
      <x:c r="F17" s="19"/>
      <x:c r="G17" s="19"/>
      <x:c r="H17" s="19"/>
    </x:row>
    <x:row r="18">
      <x:c r="A18" s="19" t="str">
        <x:v>Total Work Packages</x:v>
      </x:c>
      <x:c r="B18" s="19" t="n">
        <x:f>COUNTA('WBS Dictionary'!A2:A200)</x:f>
        <x:v>63</x:v>
      </x:c>
      <x:c r="C18" s="19" t="str">
        <x:v>Number of lowest-level WBS work packages</x:v>
      </x:c>
      <x:c r="D18" s="19" t="str">
        <x:v>Baseline count</x:v>
      </x:c>
      <x:c r="E18" s="19"/>
      <x:c r="F18" s="19"/>
      <x:c r="G18" s="19"/>
      <x:c r="H18" s="19"/>
    </x:row>
    <x:row r="19">
      <x:c r="A19" s="19" t="str">
        <x:v>Control Accounts</x:v>
      </x:c>
      <x:c r="B19" s="19" t="n">
        <x:f>COUNTA('WBS Summary'!A4:A11)</x:f>
        <x:v>8</x:v>
      </x:c>
      <x:c r="C19" s="19" t="str">
        <x:v>Top-level WBS control accounts</x:v>
      </x:c>
      <x:c r="D19" s="19" t="str">
        <x:v>8</x:v>
      </x:c>
      <x:c r="E19" s="19"/>
      <x:c r="F19" s="19"/>
      <x:c r="G19" s="19"/>
      <x:c r="H19" s="19"/>
    </x:row>
    <x:row r="20">
      <x:c r="A20" s="19" t="str">
        <x:v>Requirements-Linked WPs</x:v>
      </x:c>
      <x:c r="B20" s="19" t="n">
        <x:f>COUNTIF('WBS Dictionary'!L2:L200,"&lt;&gt;N/A")</x:f>
        <x:v>187</x:v>
      </x:c>
      <x:c r="C20" s="19" t="str">
        <x:v>Work packages explicitly linked to RTM requirements</x:v>
      </x:c>
      <x:c r="D20" s="19" t="str">
        <x:v>Monitor</x:v>
      </x:c>
      <x:c r="E20" s="19"/>
      <x:c r="F20" s="19"/>
      <x:c r="G20" s="19"/>
      <x:c r="H20" s="19"/>
    </x:row>
    <x:row r="21">
      <x:c r="A21" s="19" t="str">
        <x:v>Baselined WPs</x:v>
      </x:c>
      <x:c r="B21" s="19" t="n">
        <x:f>COUNTIF('WBS Dictionary'!P2:P200,"Baselined")</x:f>
        <x:v>63</x:v>
      </x:c>
      <x:c r="C21" s="19" t="str">
        <x:v>Work packages currently baselined</x:v>
      </x:c>
      <x:c r="D21" s="19" t="str">
        <x:v>100%</x:v>
      </x:c>
      <x:c r="E21" s="19"/>
      <x:c r="F21" s="19"/>
      <x:c r="G21" s="19"/>
      <x:c r="H21" s="19"/>
    </x:row>
    <x:row r="22">
      <x:c r="A22" s="19" t="str">
        <x:v>Scope Baseline Status</x:v>
      </x:c>
      <x:c r="B22" s="19" t="str">
        <x:v>Established</x:v>
      </x:c>
      <x:c r="C22" s="19" t="str">
        <x:v>Scope Statement + WBS + WBS Dictionary</x:v>
      </x:c>
      <x:c r="D22" s="19" t="str">
        <x:v>Established</x:v>
      </x:c>
      <x:c r="E22" s="19"/>
      <x:c r="F22" s="19"/>
      <x:c r="G22" s="19"/>
      <x:c r="H22" s="19"/>
    </x:row>
    <x:row r="23">
      <x:c r="A23" s="19"/>
      <x:c r="B23" s="19"/>
      <x:c r="C23" s="19"/>
      <x:c r="D23" s="19"/>
      <x:c r="E23" s="19"/>
      <x:c r="F23" s="19"/>
      <x:c r="G23" s="19"/>
      <x:c r="H23" s="19"/>
    </x:row>
    <x:row r="24">
      <x:c r="A24" s="19"/>
      <x:c r="B24" s="19"/>
      <x:c r="C24" s="19"/>
      <x:c r="D24" s="19"/>
      <x:c r="E24" s="19"/>
      <x:c r="F24" s="19"/>
      <x:c r="G24" s="19"/>
      <x:c r="H24" s="19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0" hidden="0" customWidth="1"/>
    <x:col min="3" max="3" width="28" hidden="0" customWidth="1"/>
    <x:col min="4" max="4" width="32" hidden="0" customWidth="1"/>
    <x:col min="5" max="5" width="26" hidden="0" customWidth="1"/>
    <x:col min="6" max="6" width="42" hidden="0" customWidth="1"/>
    <x:col min="7" max="7" width="34" hidden="0" customWidth="1"/>
    <x:col min="8" max="8" width="42" hidden="0" customWidth="1"/>
    <x:col min="9" max="9" width="24" hidden="0" customWidth="1"/>
    <x:col min="10" max="10" width="24" hidden="0" customWidth="1"/>
    <x:col min="11" max="11" width="30" hidden="0" customWidth="1"/>
    <x:col min="12" max="12" width="26" hidden="0" customWidth="1"/>
    <x:col min="13" max="13" width="36" hidden="0" customWidth="1"/>
    <x:col min="14" max="14" width="30" hidden="0" customWidth="1"/>
    <x:col min="15" max="15" width="28" hidden="0" customWidth="1"/>
    <x:col min="16" max="16" width="14" hidden="0" customWidth="1"/>
  </x:cols>
  <x:sheetData>
    <x:row r="1">
      <x:c r="A1" s="15" t="str">
        <x:v>WBS ID</x:v>
      </x:c>
      <x:c r="B1" s="15" t="str">
        <x:v>Level 1 Control Account</x:v>
      </x:c>
      <x:c r="C1" s="15" t="str">
        <x:v>Level 2 Component</x:v>
      </x:c>
      <x:c r="D1" s="15" t="str">
        <x:v>Work Package</x:v>
      </x:c>
      <x:c r="E1" s="15" t="str">
        <x:v>Workstream</x:v>
      </x:c>
      <x:c r="F1" s="15" t="str">
        <x:v>Description / Scope of Work</x:v>
      </x:c>
      <x:c r="G1" s="15" t="str">
        <x:v>Primary Deliverable(s)</x:v>
      </x:c>
      <x:c r="H1" s="15" t="str">
        <x:v>Acceptance Criteria</x:v>
      </x:c>
      <x:c r="I1" s="15" t="str">
        <x:v>Primary Owner</x:v>
      </x:c>
      <x:c r="J1" s="15" t="str">
        <x:v>Acceptance Authority</x:v>
      </x:c>
      <x:c r="K1" s="15" t="str">
        <x:v>Key Predecessor / Dependency</x:v>
      </x:c>
      <x:c r="L1" s="15" t="str">
        <x:v>Related Requirement IDs</x:v>
      </x:c>
      <x:c r="M1" s="15" t="str">
        <x:v>Planning Assumptions</x:v>
      </x:c>
      <x:c r="N1" s="15" t="str">
        <x:v>Primary Cost Category</x:v>
      </x:c>
      <x:c r="O1" s="15" t="str">
        <x:v>Schedule / Milestone Link</x:v>
      </x:c>
      <x:c r="P1" s="15" t="str">
        <x:v>Status</x:v>
      </x:c>
    </x:row>
    <x:row r="2">
      <x:c r="A2" s="19" t="str">
        <x:v>1.1.1</x:v>
      </x:c>
      <x:c r="B2" s="19" t="str">
        <x:v>1.0 Project Management &amp; Governance</x:v>
      </x:c>
      <x:c r="C2" s="19" t="str">
        <x:v>1.1 Integrated Project Management</x:v>
      </x:c>
      <x:c r="D2" s="19" t="str">
        <x:v>Integrated Project Management Plan</x:v>
      </x:c>
      <x:c r="E2" s="19" t="str">
        <x:v>Project Management &amp; Governance</x:v>
      </x:c>
      <x:c r="F2" s="19" t="str">
        <x:v>Consolidate the subsidiary management approaches and define how Project Atlas will be planned, executed, monitored, controlled, and closed.</x:v>
      </x:c>
      <x:c r="G2" s="19" t="str">
        <x:v>Integrated Project Management Plan</x:v>
      </x:c>
      <x:c r="H2" s="19" t="str">
        <x:v>Core management approaches are documented, internally consistent, and accepted by the Project Manager and Sponsor.</x:v>
      </x:c>
      <x:c r="I2" s="19" t="str">
        <x:v>Project Manager</x:v>
      </x:c>
      <x:c r="J2" s="19" t="str">
        <x:v>Executive Sponsor</x:v>
      </x:c>
      <x:c r="K2" s="19" t="str">
        <x:v>Approved Charter and Business Case</x:v>
      </x:c>
      <x:c r="L2" s="19" t="str">
        <x:v>N/A</x:v>
      </x:c>
      <x:c r="M2" s="19" t="str">
        <x:v>Plan will be tailored to project size and regulated delivery context.</x:v>
      </x:c>
      <x:c r="N2" s="19" t="str">
        <x:v>Project Management</x:v>
      </x:c>
      <x:c r="O2" s="19" t="str">
        <x:v>Planning baseline approval</x:v>
      </x:c>
      <x:c r="P2" s="19" t="str">
        <x:v>Baselined</x:v>
      </x:c>
    </x:row>
    <x:row r="3">
      <x:c r="A3" s="19" t="str">
        <x:v>1.1.2</x:v>
      </x:c>
      <x:c r="B3" s="19" t="str">
        <x:v>1.0 Project Management &amp; Governance</x:v>
      </x:c>
      <x:c r="C3" s="19" t="str">
        <x:v>1.1 Integrated Project Management</x:v>
      </x:c>
      <x:c r="D3" s="19" t="str">
        <x:v>Integrated Schedule &amp; Baseline Control</x:v>
      </x:c>
      <x:c r="E3" s="19" t="str">
        <x:v>Project Management &amp; Governance</x:v>
      </x:c>
      <x:c r="F3" s="19" t="str">
        <x:v>Develop, baseline, maintain, and control the integrated project schedule linked to approved scope and work packages.</x:v>
      </x:c>
      <x:c r="G3" s="19" t="str">
        <x:v>Integrated Project Schedule; Schedule Baseline</x:v>
      </x:c>
      <x:c r="H3" s="19" t="str">
        <x:v>Critical path, dependencies, milestones, and approved baseline are established and traceable to WBS work packages.</x:v>
      </x:c>
      <x:c r="I3" s="19" t="str">
        <x:v>Project Manager</x:v>
      </x:c>
      <x:c r="J3" s="19" t="str">
        <x:v>Executive Sponsor</x:v>
      </x:c>
      <x:c r="K3" s="19" t="str">
        <x:v>Approved WBS and resource estimates</x:v>
      </x:c>
      <x:c r="L3" s="19" t="str">
        <x:v>N/A</x:v>
      </x:c>
      <x:c r="M3" s="19" t="str">
        <x:v>Detailed activity planning will follow WBS approval.</x:v>
      </x:c>
      <x:c r="N3" s="19" t="str">
        <x:v>Project Management</x:v>
      </x:c>
      <x:c r="O3" s="19" t="str">
        <x:v>Schedule baseline approval</x:v>
      </x:c>
      <x:c r="P3" s="19" t="str">
        <x:v>Baselined</x:v>
      </x:c>
    </x:row>
    <x:row r="4">
      <x:c r="A4" s="19" t="str">
        <x:v>1.1.3</x:v>
      </x:c>
      <x:c r="B4" s="19" t="str">
        <x:v>1.0 Project Management &amp; Governance</x:v>
      </x:c>
      <x:c r="C4" s="19" t="str">
        <x:v>1.1 Integrated Project Management</x:v>
      </x:c>
      <x:c r="D4" s="19" t="str">
        <x:v>Project Status &amp; Performance Reporting</x:v>
      </x:c>
      <x:c r="E4" s="19" t="str">
        <x:v>Project Management &amp; Governance</x:v>
      </x:c>
      <x:c r="F4" s="19" t="str">
        <x:v>Define and operate project reporting covering scope, schedule, cost, quality, risks, issues, dependencies, and decisions.</x:v>
      </x:c>
      <x:c r="G4" s="19" t="str">
        <x:v>Weekly status pack; Monthly steering report</x:v>
      </x:c>
      <x:c r="H4" s="19" t="str">
        <x:v>Reports are issued to agreed cadence and contain current performance and decision information.</x:v>
      </x:c>
      <x:c r="I4" s="19" t="str">
        <x:v>Project Manager</x:v>
      </x:c>
      <x:c r="J4" s="19" t="str">
        <x:v>Executive Sponsor</x:v>
      </x:c>
      <x:c r="K4" s="19" t="str">
        <x:v>Baselines and project control data</x:v>
      </x:c>
      <x:c r="L4" s="19" t="str">
        <x:v>N/A</x:v>
      </x:c>
      <x:c r="M4" s="19" t="str">
        <x:v>Reporting frequency follows Governance Model.</x:v>
      </x:c>
      <x:c r="N4" s="19" t="str">
        <x:v>Project Management</x:v>
      </x:c>
      <x:c r="O4" s="19" t="str">
        <x:v>Weekly / monthly governance</x:v>
      </x:c>
      <x:c r="P4" s="19" t="str">
        <x:v>Baselined</x:v>
      </x:c>
    </x:row>
    <x:row r="5">
      <x:c r="A5" s="19" t="str">
        <x:v>1.1.4</x:v>
      </x:c>
      <x:c r="B5" s="19" t="str">
        <x:v>1.0 Project Management &amp; Governance</x:v>
      </x:c>
      <x:c r="C5" s="19" t="str">
        <x:v>1.1 Integrated Project Management</x:v>
      </x:c>
      <x:c r="D5" s="19" t="str">
        <x:v>RAID &amp; Decision Management</x:v>
      </x:c>
      <x:c r="E5" s="19" t="str">
        <x:v>Project Management &amp; Governance</x:v>
      </x:c>
      <x:c r="F5" s="19" t="str">
        <x:v>Maintain structured identification, ownership, response, escalation, and closure of risks, assumptions, issues, dependencies, and decisions.</x:v>
      </x:c>
      <x:c r="G5" s="19" t="str">
        <x:v>RAID Register; Decision Log</x:v>
      </x:c>
      <x:c r="H5" s="19" t="str">
        <x:v>Open items have owners, dates, status, response/actions, and escalation where thresholds are exceeded.</x:v>
      </x:c>
      <x:c r="I5" s="19" t="str">
        <x:v>Project Manager</x:v>
      </x:c>
      <x:c r="J5" s="19" t="str">
        <x:v>Executive Sponsor</x:v>
      </x:c>
      <x:c r="K5" s="19" t="str">
        <x:v>Stakeholder and workstream inputs</x:v>
      </x:c>
      <x:c r="L5" s="19" t="str">
        <x:v>N/A</x:v>
      </x:c>
      <x:c r="M5" s="19" t="str">
        <x:v>RAID reviews occur at weekly and fortnightly governance cadence.</x:v>
      </x:c>
      <x:c r="N5" s="19" t="str">
        <x:v>Project Management</x:v>
      </x:c>
      <x:c r="O5" s="19" t="str">
        <x:v>Ongoing project control</x:v>
      </x:c>
      <x:c r="P5" s="19" t="str">
        <x:v>Baselined</x:v>
      </x:c>
    </x:row>
    <x:row r="6">
      <x:c r="A6" s="19" t="str">
        <x:v>1.1.5</x:v>
      </x:c>
      <x:c r="B6" s="19" t="str">
        <x:v>1.0 Project Management &amp; Governance</x:v>
      </x:c>
      <x:c r="C6" s="19" t="str">
        <x:v>1.1 Integrated Project Management</x:v>
      </x:c>
      <x:c r="D6" s="19" t="str">
        <x:v>Integrated Change Control</x:v>
      </x:c>
      <x:c r="E6" s="19" t="str">
        <x:v>Project Management &amp; Governance</x:v>
      </x:c>
      <x:c r="F6" s="19" t="str">
        <x:v>Assess proposed changes for impact across scope, schedule, cost, resources, quality, risk, and benefits before approval.</x:v>
      </x:c>
      <x:c r="G6" s="19" t="str">
        <x:v>Change Register; Change Requests; Approved baseline updates</x:v>
      </x:c>
      <x:c r="H6" s="19" t="str">
        <x:v>No material baseline change is implemented without documented impact assessment and approval.</x:v>
      </x:c>
      <x:c r="I6" s="19" t="str">
        <x:v>Project Manager</x:v>
      </x:c>
      <x:c r="J6" s="19" t="str">
        <x:v>Steering Committee</x:v>
      </x:c>
      <x:c r="K6" s="19" t="str">
        <x:v>Approved baselines</x:v>
      </x:c>
      <x:c r="L6" s="19" t="str">
        <x:v>N/A</x:v>
      </x:c>
      <x:c r="M6" s="19" t="str">
        <x:v>Thresholds follow Governance Model.</x:v>
      </x:c>
      <x:c r="N6" s="19" t="str">
        <x:v>Project Management</x:v>
      </x:c>
      <x:c r="O6" s="19" t="str">
        <x:v>Change Control Board / Steering decisions</x:v>
      </x:c>
      <x:c r="P6" s="19" t="str">
        <x:v>Baselined</x:v>
      </x:c>
    </x:row>
    <x:row r="7">
      <x:c r="A7" s="19" t="str">
        <x:v>1.2.1</x:v>
      </x:c>
      <x:c r="B7" s="19" t="str">
        <x:v>1.0 Project Management &amp; Governance</x:v>
      </x:c>
      <x:c r="C7" s="19" t="str">
        <x:v>1.2 Governance &amp; Commercial Control</x:v>
      </x:c>
      <x:c r="D7" s="19" t="str">
        <x:v>Delivery Governance Forums</x:v>
      </x:c>
      <x:c r="E7" s="19" t="str">
        <x:v>Project Management &amp; Governance</x:v>
      </x:c>
      <x:c r="F7" s="19" t="str">
        <x:v>Operate weekly cross-workstream governance to review progress, dependencies, actions, and delivery blockers.</x:v>
      </x:c>
      <x:c r="G7" s="19" t="str">
        <x:v>Weekly Delivery Review agenda and actions</x:v>
      </x:c>
      <x:c r="H7" s="19" t="str">
        <x:v>Meeting cadence is maintained and material actions are tracked to closure.</x:v>
      </x:c>
      <x:c r="I7" s="19" t="str">
        <x:v>Project Manager</x:v>
      </x:c>
      <x:c r="J7" s="19" t="str">
        <x:v>Executive Sponsor</x:v>
      </x:c>
      <x:c r="K7" s="19" t="str">
        <x:v>Workstream status</x:v>
      </x:c>
      <x:c r="L7" s="19" t="str">
        <x:v>N/A</x:v>
      </x:c>
      <x:c r="M7" s="19" t="str">
        <x:v>Workstream leads attend weekly review.</x:v>
      </x:c>
      <x:c r="N7" s="19" t="str">
        <x:v>Project Management</x:v>
      </x:c>
      <x:c r="O7" s="19" t="str">
        <x:v>Weekly Delivery Review</x:v>
      </x:c>
      <x:c r="P7" s="19" t="str">
        <x:v>Baselined</x:v>
      </x:c>
    </x:row>
    <x:row r="8">
      <x:c r="A8" s="19" t="str">
        <x:v>1.2.2</x:v>
      </x:c>
      <x:c r="B8" s="19" t="str">
        <x:v>1.0 Project Management &amp; Governance</x:v>
      </x:c>
      <x:c r="C8" s="19" t="str">
        <x:v>1.2 Governance &amp; Commercial Control</x:v>
      </x:c>
      <x:c r="D8" s="19" t="str">
        <x:v>Steering Committee Governance</x:v>
      </x:c>
      <x:c r="E8" s="19" t="str">
        <x:v>Project Management &amp; Governance</x:v>
      </x:c>
      <x:c r="F8" s="19" t="str">
        <x:v>Prepare and facilitate monthly executive governance for project health, major risks, financials, changes, and decisions.</x:v>
      </x:c>
      <x:c r="G8" s="19" t="str">
        <x:v>Steering Committee pack; Decision record</x:v>
      </x:c>
      <x:c r="H8" s="19" t="str">
        <x:v>Executive decisions and escalations are captured and communicated.</x:v>
      </x:c>
      <x:c r="I8" s="19" t="str">
        <x:v>Project Manager</x:v>
      </x:c>
      <x:c r="J8" s="19" t="str">
        <x:v>Executive Sponsor</x:v>
      </x:c>
      <x:c r="K8" s="19" t="str">
        <x:v>Current project performance</x:v>
      </x:c>
      <x:c r="L8" s="19" t="str">
        <x:v>N/A</x:v>
      </x:c>
      <x:c r="M8" s="19" t="str">
        <x:v>Monthly steering cadence.</x:v>
      </x:c>
      <x:c r="N8" s="19" t="str">
        <x:v>Project Management</x:v>
      </x:c>
      <x:c r="O8" s="19" t="str">
        <x:v>Monthly Steering Committee</x:v>
      </x:c>
      <x:c r="P8" s="19" t="str">
        <x:v>Baselined</x:v>
      </x:c>
    </x:row>
    <x:row r="9">
      <x:c r="A9" s="19" t="str">
        <x:v>1.2.3</x:v>
      </x:c>
      <x:c r="B9" s="19" t="str">
        <x:v>1.0 Project Management &amp; Governance</x:v>
      </x:c>
      <x:c r="C9" s="19" t="str">
        <x:v>1.2 Governance &amp; Commercial Control</x:v>
      </x:c>
      <x:c r="D9" s="19" t="str">
        <x:v>Stage-Gate Governance</x:v>
      </x:c>
      <x:c r="E9" s="19" t="str">
        <x:v>Project Management &amp; Governance</x:v>
      </x:c>
      <x:c r="F9" s="19" t="str">
        <x:v>Coordinate evidence and approvals required to progress through defined lifecycle stage gates.</x:v>
      </x:c>
      <x:c r="G9" s="19" t="str">
        <x:v>Stage-gate packs and approvals</x:v>
      </x:c>
      <x:c r="H9" s="19" t="str">
        <x:v>Required entry/exit criteria are met or formally waived before progression.</x:v>
      </x:c>
      <x:c r="I9" s="19" t="str">
        <x:v>Project Manager</x:v>
      </x:c>
      <x:c r="J9" s="19" t="str">
        <x:v>Steering Committee</x:v>
      </x:c>
      <x:c r="K9" s="19" t="str">
        <x:v>Lifecycle deliverables</x:v>
      </x:c>
      <x:c r="L9" s="19" t="str">
        <x:v>REG-002</x:v>
      </x:c>
      <x:c r="M9" s="19" t="str">
        <x:v>Stage gates align to requirements, design, testing, release, and closure milestones.</x:v>
      </x:c>
      <x:c r="N9" s="19" t="str">
        <x:v>Project Management</x:v>
      </x:c>
      <x:c r="O9" s="19" t="str">
        <x:v>Lifecycle stage gates</x:v>
      </x:c>
      <x:c r="P9" s="19" t="str">
        <x:v>Baselined</x:v>
      </x:c>
    </x:row>
    <x:row r="10">
      <x:c r="A10" s="19" t="str">
        <x:v>1.2.4</x:v>
      </x:c>
      <x:c r="B10" s="19" t="str">
        <x:v>1.0 Project Management &amp; Governance</x:v>
      </x:c>
      <x:c r="C10" s="19" t="str">
        <x:v>1.2 Governance &amp; Commercial Control</x:v>
      </x:c>
      <x:c r="D10" s="19" t="str">
        <x:v>Vendor &amp; Procurement Coordination</x:v>
      </x:c>
      <x:c r="E10" s="19" t="str">
        <x:v>Project Management &amp; Governance</x:v>
      </x:c>
      <x:c r="F10" s="19" t="str">
        <x:v>Coordinate procurement, onboarding, deliverables, performance, and closure for specialist external services.</x:v>
      </x:c>
      <x:c r="G10" s="19" t="str">
        <x:v>Procurement plan; Vendor deliverable tracker</x:v>
      </x:c>
      <x:c r="H10" s="19" t="str">
        <x:v>Required external services are available within approved scope, cost, and lead times.</x:v>
      </x:c>
      <x:c r="I10" s="19" t="str">
        <x:v>Project Manager</x:v>
      </x:c>
      <x:c r="J10" s="19" t="str">
        <x:v>Executive Sponsor</x:v>
      </x:c>
      <x:c r="K10" s="19" t="str">
        <x:v>Approved procurement needs</x:v>
      </x:c>
      <x:c r="L10" s="19" t="str">
        <x:v>N/A</x:v>
      </x:c>
      <x:c r="M10" s="19" t="str">
        <x:v>External security/validation support may be procured.</x:v>
      </x:c>
      <x:c r="N10" s="19" t="str">
        <x:v>External / Specialist Vendor Services</x:v>
      </x:c>
      <x:c r="O10" s="19" t="str">
        <x:v>Procurement and vendor milestones</x:v>
      </x:c>
      <x:c r="P10" s="19" t="str">
        <x:v>Baselined</x:v>
      </x:c>
    </x:row>
    <x:row r="11">
      <x:c r="A11" s="19" t="str">
        <x:v>1.2.5</x:v>
      </x:c>
      <x:c r="B11" s="19" t="str">
        <x:v>1.0 Project Management &amp; Governance</x:v>
      </x:c>
      <x:c r="C11" s="19" t="str">
        <x:v>1.2 Governance &amp; Commercial Control</x:v>
      </x:c>
      <x:c r="D11" s="19" t="str">
        <x:v>Financial Control &amp; Forecasting</x:v>
      </x:c>
      <x:c r="E11" s="19" t="str">
        <x:v>Project Management &amp; Governance</x:v>
      </x:c>
      <x:c r="F11" s="19" t="str">
        <x:v>Establish time-phased cost baseline and maintain actuals, commitments, forecasts, reserves, and variance analysis.</x:v>
      </x:c>
      <x:c r="G11" s="19" t="str">
        <x:v>Cost Baseline; Forecast; EVM reports</x:v>
      </x:c>
      <x:c r="H11" s="19" t="str">
        <x:v>Cost reporting reconciles to approved BAC and material variances have explanation and action.</x:v>
      </x:c>
      <x:c r="I11" s="19" t="str">
        <x:v>Project Manager</x:v>
      </x:c>
      <x:c r="J11" s="19" t="str">
        <x:v>Executive Sponsor</x:v>
      </x:c>
      <x:c r="K11" s="19" t="str">
        <x:v>WBS, schedule, resource and procurement estimates</x:v>
      </x:c>
      <x:c r="L11" s="19" t="str">
        <x:v>N/A</x:v>
      </x:c>
      <x:c r="M11" s="19" t="str">
        <x:v>BAC is ₹2.40 Cr; management reserve held outside baseline.</x:v>
      </x:c>
      <x:c r="N11" s="19" t="str">
        <x:v>Project Management</x:v>
      </x:c>
      <x:c r="O11" s="19" t="str">
        <x:v>Cost baseline and monthly forecast</x:v>
      </x:c>
      <x:c r="P11" s="19" t="str">
        <x:v>Baselined</x:v>
      </x:c>
    </x:row>
    <x:row r="12">
      <x:c r="A12" s="19" t="str">
        <x:v>2.1.1</x:v>
      </x:c>
      <x:c r="B12" s="19" t="str">
        <x:v>2.0 Requirements &amp; Solution Design</x:v>
      </x:c>
      <x:c r="C12" s="19" t="str">
        <x:v>2.1 Requirements Baseline</x:v>
      </x:c>
      <x:c r="D12" s="19" t="str">
        <x:v>Business &amp; Functional Requirements</x:v>
      </x:c>
      <x:c r="E12" s="19" t="str">
        <x:v>Requirements &amp; Solution Design</x:v>
      </x:c>
      <x:c r="F12" s="19" t="str">
        <x:v>Elicit, document, review, and baseline business and functional requirements for the replacement application.</x:v>
      </x:c>
      <x:c r="G12" s="19" t="str">
        <x:v>Approved business and functional requirements</x:v>
      </x:c>
      <x:c r="H12" s="19" t="str">
        <x:v>Requirements are clear, testable, traceable, and approved by designated business authority.</x:v>
      </x:c>
      <x:c r="I12" s="19" t="str">
        <x:v>Business Analysis Lead</x:v>
      </x:c>
      <x:c r="J12" s="19" t="str">
        <x:v>Business Owner</x:v>
      </x:c>
      <x:c r="K12" s="19" t="str">
        <x:v>Business Case and stakeholder inputs</x:v>
      </x:c>
      <x:c r="L12" s="19" t="str">
        <x:v>BUS-001,BUS-002,BUS-003,FUN-001–FUN-005</x:v>
      </x:c>
      <x:c r="M12" s="19" t="str">
        <x:v>Business SMEs are available for workshops and approvals.</x:v>
      </x:c>
      <x:c r="N12" s="19" t="str">
        <x:v>Internal / Contract Resources</x:v>
      </x:c>
      <x:c r="O12" s="19" t="str">
        <x:v>Requirements Baseline</x:v>
      </x:c>
      <x:c r="P12" s="19" t="str">
        <x:v>Baselined</x:v>
      </x:c>
    </x:row>
    <x:row r="13">
      <x:c r="A13" s="19" t="str">
        <x:v>2.1.2</x:v>
      </x:c>
      <x:c r="B13" s="19" t="str">
        <x:v>2.0 Requirements &amp; Solution Design</x:v>
      </x:c>
      <x:c r="C13" s="19" t="str">
        <x:v>2.1 Requirements Baseline</x:v>
      </x:c>
      <x:c r="D13" s="19" t="str">
        <x:v>Integration &amp; Data Requirements</x:v>
      </x:c>
      <x:c r="E13" s="19" t="str">
        <x:v>Requirements &amp; Solution Design</x:v>
      </x:c>
      <x:c r="F13" s="19" t="str">
        <x:v>Define interface, data, migration, reconciliation, and retention requirements.</x:v>
      </x:c>
      <x:c r="G13" s="19" t="str">
        <x:v>Approved integration and data requirements</x:v>
      </x:c>
      <x:c r="H13" s="19" t="str">
        <x:v>All four interfaces and required migration scope have approved, testable requirements.</x:v>
      </x:c>
      <x:c r="I13" s="19" t="str">
        <x:v>Business Analysis Lead</x:v>
      </x:c>
      <x:c r="J13" s="19" t="str">
        <x:v>Technology Lead</x:v>
      </x:c>
      <x:c r="K13" s="19" t="str">
        <x:v>Enterprise integration and data-owner inputs</x:v>
      </x:c>
      <x:c r="L13" s="19" t="str">
        <x:v>INT-001–INT-004,DAT-001–DAT-003</x:v>
      </x:c>
      <x:c r="M13" s="19" t="str">
        <x:v>Interface owners will confirm specifications within planning window.</x:v>
      </x:c>
      <x:c r="N13" s="19" t="str">
        <x:v>Internal / Contract Resources</x:v>
      </x:c>
      <x:c r="O13" s="19" t="str">
        <x:v>Requirements Baseline</x:v>
      </x:c>
      <x:c r="P13" s="19" t="str">
        <x:v>Baselined</x:v>
      </x:c>
    </x:row>
    <x:row r="14">
      <x:c r="A14" s="19" t="str">
        <x:v>2.1.3</x:v>
      </x:c>
      <x:c r="B14" s="19" t="str">
        <x:v>2.0 Requirements &amp; Solution Design</x:v>
      </x:c>
      <x:c r="C14" s="19" t="str">
        <x:v>2.1 Requirements Baseline</x:v>
      </x:c>
      <x:c r="D14" s="19" t="str">
        <x:v>Regulatory, Security &amp; Non-Functional Requirements</x:v>
      </x:c>
      <x:c r="E14" s="19" t="str">
        <x:v>Requirements &amp; Solution Design</x:v>
      </x:c>
      <x:c r="F14" s="19" t="str">
        <x:v>Define compliance, security, performance, availability, operational, and training requirements.</x:v>
      </x:c>
      <x:c r="G14" s="19" t="str">
        <x:v>Approved regulatory, security, NFR and operational requirements</x:v>
      </x:c>
      <x:c r="H14" s="19" t="str">
        <x:v>Control requirements are measurable and approved by relevant authorities.</x:v>
      </x:c>
      <x:c r="I14" s="19" t="str">
        <x:v>Business Analysis Lead</x:v>
      </x:c>
      <x:c r="J14" s="19" t="str">
        <x:v>Quality / Compliance</x:v>
      </x:c>
      <x:c r="K14" s="19" t="str">
        <x:v>Quality, security and operations inputs</x:v>
      </x:c>
      <x:c r="L14" s="19" t="str">
        <x:v>REG-001–REG-002,SEC-001–SEC-003,NFR-001–NFR-003,OPS-001–OPS-003,TRN-001–TRN-002</x:v>
      </x:c>
      <x:c r="M14" s="19" t="str">
        <x:v>Enterprise standards remain applicable throughout design.</x:v>
      </x:c>
      <x:c r="N14" s="19" t="str">
        <x:v>Internal / Contract Resources</x:v>
      </x:c>
      <x:c r="O14" s="19" t="str">
        <x:v>Requirements Baseline</x:v>
      </x:c>
      <x:c r="P14" s="19" t="str">
        <x:v>Baselined</x:v>
      </x:c>
    </x:row>
    <x:row r="15">
      <x:c r="A15" s="19" t="str">
        <x:v>2.1.4</x:v>
      </x:c>
      <x:c r="B15" s="19" t="str">
        <x:v>2.0 Requirements &amp; Solution Design</x:v>
      </x:c>
      <x:c r="C15" s="19" t="str">
        <x:v>2.1 Requirements Baseline</x:v>
      </x:c>
      <x:c r="D15" s="19" t="str">
        <x:v>Requirements Traceability &amp; Baseline Approval</x:v>
      </x:c>
      <x:c r="E15" s="19" t="str">
        <x:v>Requirements &amp; Solution Design</x:v>
      </x:c>
      <x:c r="F15" s="19" t="str">
        <x:v>Establish traceability between business need, requirement, design, verification, and acceptance; secure baseline approval.</x:v>
      </x:c>
      <x:c r="G15" s="19" t="str">
        <x:v>Requirements Traceability Matrix; Requirements approval</x:v>
      </x:c>
      <x:c r="H15" s="19" t="str">
        <x:v>Baseline requirements have unique IDs, acceptance criteria, owners, verification methods, and approval status.</x:v>
      </x:c>
      <x:c r="I15" s="19" t="str">
        <x:v>Business Analysis Lead</x:v>
      </x:c>
      <x:c r="J15" s="19" t="str">
        <x:v>Business Owner</x:v>
      </x:c>
      <x:c r="K15" s="19" t="str">
        <x:v>2.1.1–2.1.3</x:v>
      </x:c>
      <x:c r="L15" s="19" t="str">
        <x:v>All baseline requirements</x:v>
      </x:c>
      <x:c r="M15" s="19" t="str">
        <x:v>RTM is maintained under change control after approval.</x:v>
      </x:c>
      <x:c r="N15" s="19" t="str">
        <x:v>Internal / Contract Resources</x:v>
      </x:c>
      <x:c r="O15" s="19" t="str">
        <x:v>Requirements Baseline</x:v>
      </x:c>
      <x:c r="P15" s="19" t="str">
        <x:v>Baselined</x:v>
      </x:c>
    </x:row>
    <x:row r="16">
      <x:c r="A16" s="19" t="str">
        <x:v>2.2.1</x:v>
      </x:c>
      <x:c r="B16" s="19" t="str">
        <x:v>2.0 Requirements &amp; Solution Design</x:v>
      </x:c>
      <x:c r="C16" s="19" t="str">
        <x:v>2.2 Solution Design</x:v>
      </x:c>
      <x:c r="D16" s="19" t="str">
        <x:v>Application Solution Design</x:v>
      </x:c>
      <x:c r="E16" s="19" t="str">
        <x:v>Requirements &amp; Solution Design</x:v>
      </x:c>
      <x:c r="F16" s="19" t="str">
        <x:v>Develop the target application design covering workflows, business rules, reporting, audit, and application components.</x:v>
      </x:c>
      <x:c r="G16" s="19" t="str">
        <x:v>Application Solution Design</x:v>
      </x:c>
      <x:c r="H16" s="19" t="str">
        <x:v>Design addresses approved application requirements and passes formal design review.</x:v>
      </x:c>
      <x:c r="I16" s="19" t="str">
        <x:v>Solution Architect</x:v>
      </x:c>
      <x:c r="J16" s="19" t="str">
        <x:v>Technology Lead</x:v>
      </x:c>
      <x:c r="K16" s="19" t="str">
        <x:v>2.1 Requirements Baseline</x:v>
      </x:c>
      <x:c r="L16" s="19" t="str">
        <x:v>BUS-001–BUS-003,FUN-001–FUN-005</x:v>
      </x:c>
      <x:c r="M16" s="19" t="str">
        <x:v>Existing enterprise architecture standards are used.</x:v>
      </x:c>
      <x:c r="N16" s="19" t="str">
        <x:v>Internal / Contract Resources</x:v>
      </x:c>
      <x:c r="O16" s="19" t="str">
        <x:v>Solution Design Approval</x:v>
      </x:c>
      <x:c r="P16" s="19" t="str">
        <x:v>Baselined</x:v>
      </x:c>
    </x:row>
    <x:row r="17">
      <x:c r="A17" s="19" t="str">
        <x:v>2.2.2</x:v>
      </x:c>
      <x:c r="B17" s="19" t="str">
        <x:v>2.0 Requirements &amp; Solution Design</x:v>
      </x:c>
      <x:c r="C17" s="19" t="str">
        <x:v>2.2 Solution Design</x:v>
      </x:c>
      <x:c r="D17" s="19" t="str">
        <x:v>Integration Solution Design</x:v>
      </x:c>
      <x:c r="E17" s="19" t="str">
        <x:v>Requirements &amp; Solution Design</x:v>
      </x:c>
      <x:c r="F17" s="19" t="str">
        <x:v>Define interface patterns, mappings, error handling, monitoring, and technical dependencies for four integrations.</x:v>
      </x:c>
      <x:c r="G17" s="19" t="str">
        <x:v>Integration Design Specification</x:v>
      </x:c>
      <x:c r="H17" s="19" t="str">
        <x:v>All four integration designs are approved by application and enterprise integration owners.</x:v>
      </x:c>
      <x:c r="I17" s="19" t="str">
        <x:v>Integration &amp; Data Migration Lead</x:v>
      </x:c>
      <x:c r="J17" s="19" t="str">
        <x:v>Technology Lead</x:v>
      </x:c>
      <x:c r="K17" s="19" t="str">
        <x:v>2.1.2</x:v>
      </x:c>
      <x:c r="L17" s="19" t="str">
        <x:v>INT-001–INT-004</x:v>
      </x:c>
      <x:c r="M17" s="19" t="str">
        <x:v>Connected systems expose approved integration mechanisms.</x:v>
      </x:c>
      <x:c r="N17" s="19" t="str">
        <x:v>Internal / Contract Resources</x:v>
      </x:c>
      <x:c r="O17" s="19" t="str">
        <x:v>Solution Design Approval</x:v>
      </x:c>
      <x:c r="P17" s="19" t="str">
        <x:v>Baselined</x:v>
      </x:c>
    </x:row>
    <x:row r="18">
      <x:c r="A18" s="19" t="str">
        <x:v>2.2.3</x:v>
      </x:c>
      <x:c r="B18" s="19" t="str">
        <x:v>2.0 Requirements &amp; Solution Design</x:v>
      </x:c>
      <x:c r="C18" s="19" t="str">
        <x:v>2.2 Solution Design</x:v>
      </x:c>
      <x:c r="D18" s="19" t="str">
        <x:v>Data Migration Design</x:v>
      </x:c>
      <x:c r="E18" s="19" t="str">
        <x:v>Requirements &amp; Solution Design</x:v>
      </x:c>
      <x:c r="F18" s="19" t="str">
        <x:v>Define source-to-target mapping, transformation, cleansing, reconciliation, migration sequencing, and evidence requirements.</x:v>
      </x:c>
      <x:c r="G18" s="19" t="str">
        <x:v>Data Migration Design &amp; Reconciliation Approach</x:v>
      </x:c>
      <x:c r="H18" s="19" t="str">
        <x:v>Migration approach covers active/historical scope and approved reconciliation controls.</x:v>
      </x:c>
      <x:c r="I18" s="19" t="str">
        <x:v>Integration &amp; Data Migration Lead</x:v>
      </x:c>
      <x:c r="J18" s="19" t="str">
        <x:v>Technology Lead</x:v>
      </x:c>
      <x:c r="K18" s="19" t="str">
        <x:v>2.1.2</x:v>
      </x:c>
      <x:c r="L18" s="19" t="str">
        <x:v>DAT-001–DAT-003</x:v>
      </x:c>
      <x:c r="M18" s="19" t="str">
        <x:v>Source data is accessible for profiling.</x:v>
      </x:c>
      <x:c r="N18" s="19" t="str">
        <x:v>Internal / Contract Resources</x:v>
      </x:c>
      <x:c r="O18" s="19" t="str">
        <x:v>Solution Design Approval</x:v>
      </x:c>
      <x:c r="P18" s="19" t="str">
        <x:v>Baselined</x:v>
      </x:c>
    </x:row>
    <x:row r="19">
      <x:c r="A19" s="19" t="str">
        <x:v>2.2.4</x:v>
      </x:c>
      <x:c r="B19" s="19" t="str">
        <x:v>2.0 Requirements &amp; Solution Design</x:v>
      </x:c>
      <x:c r="C19" s="19" t="str">
        <x:v>2.2 Solution Design</x:v>
      </x:c>
      <x:c r="D19" s="19" t="str">
        <x:v>Security &amp; Access Design</x:v>
      </x:c>
      <x:c r="E19" s="19" t="str">
        <x:v>Requirements &amp; Solution Design</x:v>
      </x:c>
      <x:c r="F19" s="19" t="str">
        <x:v>Define role model, least-privilege access, authentication, encryption, logging, and security controls.</x:v>
      </x:c>
      <x:c r="G19" s="19" t="str">
        <x:v>Security &amp; Access Design</x:v>
      </x:c>
      <x:c r="H19" s="19" t="str">
        <x:v>Information Security approves the control design and identified risks have disposition.</x:v>
      </x:c>
      <x:c r="I19" s="19" t="str">
        <x:v>Solution Architect</x:v>
      </x:c>
      <x:c r="J19" s="19" t="str">
        <x:v>Information Security</x:v>
      </x:c>
      <x:c r="K19" s="19" t="str">
        <x:v>2.1.3</x:v>
      </x:c>
      <x:c r="L19" s="19" t="str">
        <x:v>SEC-001–SEC-003,BUS-002</x:v>
      </x:c>
      <x:c r="M19" s="19" t="str">
        <x:v>Enterprise IAM and security standards are available.</x:v>
      </x:c>
      <x:c r="N19" s="19" t="str">
        <x:v>Internal / Contract Resources</x:v>
      </x:c>
      <x:c r="O19" s="19" t="str">
        <x:v>Security Design Review</x:v>
      </x:c>
      <x:c r="P19" s="19" t="str">
        <x:v>Baselined</x:v>
      </x:c>
    </x:row>
    <x:row r="20">
      <x:c r="A20" s="19" t="str">
        <x:v>2.2.5</x:v>
      </x:c>
      <x:c r="B20" s="19" t="str">
        <x:v>2.0 Requirements &amp; Solution Design</x:v>
      </x:c>
      <x:c r="C20" s="19" t="str">
        <x:v>2.2 Solution Design</x:v>
      </x:c>
      <x:c r="D20" s="19" t="str">
        <x:v>Operational &amp; Support Design</x:v>
      </x:c>
      <x:c r="E20" s="19" t="str">
        <x:v>Requirements &amp; Solution Design</x:v>
      </x:c>
      <x:c r="F20" s="19" t="str">
        <x:v>Define monitoring, alerting, support ownership, recovery, known-error handling, and operational procedures.</x:v>
      </x:c>
      <x:c r="G20" s="19" t="str">
        <x:v>Operational Support Design</x:v>
      </x:c>
      <x:c r="H20" s="19" t="str">
        <x:v>Operations confirms support model and monitoring/recovery requirements are implementable.</x:v>
      </x:c>
      <x:c r="I20" s="19" t="str">
        <x:v>Solution Architect</x:v>
      </x:c>
      <x:c r="J20" s="19" t="str">
        <x:v>Operations Lead</x:v>
      </x:c>
      <x:c r="K20" s="19" t="str">
        <x:v>2.1.3</x:v>
      </x:c>
      <x:c r="L20" s="19" t="str">
        <x:v>NFR-003,OPS-001–OPS-003</x:v>
      </x:c>
      <x:c r="M20" s="19" t="str">
        <x:v>BAU support team participates in design review.</x:v>
      </x:c>
      <x:c r="N20" s="19" t="str">
        <x:v>Internal / Contract Resources</x:v>
      </x:c>
      <x:c r="O20" s="19" t="str">
        <x:v>Operational Design Review</x:v>
      </x:c>
      <x:c r="P20" s="19" t="str">
        <x:v>Baselined</x:v>
      </x:c>
    </x:row>
    <x:row r="21">
      <x:c r="A21" s="19" t="str">
        <x:v>2.2.6</x:v>
      </x:c>
      <x:c r="B21" s="19" t="str">
        <x:v>2.0 Requirements &amp; Solution Design</x:v>
      </x:c>
      <x:c r="C21" s="19" t="str">
        <x:v>2.2 Solution Design</x:v>
      </x:c>
      <x:c r="D21" s="19" t="str">
        <x:v>Solution Design Approval</x:v>
      </x:c>
      <x:c r="E21" s="19" t="str">
        <x:v>Requirements &amp; Solution Design</x:v>
      </x:c>
      <x:c r="F21" s="19" t="str">
        <x:v>Consolidate design evidence and secure formal technical, security, quality, and operational approval to begin full build.</x:v>
      </x:c>
      <x:c r="G21" s="19" t="str">
        <x:v>Approved Solution Design Pack</x:v>
      </x:c>
      <x:c r="H21" s="19" t="str">
        <x:v>All mandatory design comments are resolved or formally dispositioned.</x:v>
      </x:c>
      <x:c r="I21" s="19" t="str">
        <x:v>Solution Architect</x:v>
      </x:c>
      <x:c r="J21" s="19" t="str">
        <x:v>Technology Lead</x:v>
      </x:c>
      <x:c r="K21" s="19" t="str">
        <x:v>2.2.1–2.2.5</x:v>
      </x:c>
      <x:c r="L21" s="19" t="str">
        <x:v>All relevant requirements</x:v>
      </x:c>
      <x:c r="M21" s="19" t="str">
        <x:v>Design approval is a formal stage gate.</x:v>
      </x:c>
      <x:c r="N21" s="19" t="str">
        <x:v>Internal / Contract Resources</x:v>
      </x:c>
      <x:c r="O21" s="19" t="str">
        <x:v>Solution Design Approval</x:v>
      </x:c>
      <x:c r="P21" s="19" t="str">
        <x:v>Baselined</x:v>
      </x:c>
    </x:row>
    <x:row r="22">
      <x:c r="A22" s="19" t="str">
        <x:v>3.1.1</x:v>
      </x:c>
      <x:c r="B22" s="19" t="str">
        <x:v>3.0 Application Development</x:v>
      </x:c>
      <x:c r="C22" s="19" t="str">
        <x:v>3.1 Application Foundation</x:v>
      </x:c>
      <x:c r="D22" s="19" t="str">
        <x:v>Application Framework &amp; Configuration</x:v>
      </x:c>
      <x:c r="E22" s="19" t="str">
        <x:v>Application Development</x:v>
      </x:c>
      <x:c r="F22" s="19" t="str">
        <x:v>Configure the application foundation, environments, base components, workflow framework, logging, and common services.</x:v>
      </x:c>
      <x:c r="G22" s="19" t="str">
        <x:v>Configured application foundation</x:v>
      </x:c>
      <x:c r="H22" s="19" t="str">
        <x:v>Foundation is deployable to development/test environment and meets approved architecture standards.</x:v>
      </x:c>
      <x:c r="I22" s="19" t="str">
        <x:v>Application Development Lead</x:v>
      </x:c>
      <x:c r="J22" s="19" t="str">
        <x:v>Technology Lead</x:v>
      </x:c>
      <x:c r="K22" s="19" t="str">
        <x:v>2.2.6</x:v>
      </x:c>
      <x:c r="L22" s="19" t="str">
        <x:v>BUS-001,NFR-001–NFR-003</x:v>
      </x:c>
      <x:c r="M22" s="19" t="str">
        <x:v>Required platform licenses/environments are available.</x:v>
      </x:c>
      <x:c r="N22" s="19" t="str">
        <x:v>Internal / Contract Resources</x:v>
      </x:c>
      <x:c r="O22" s="19" t="str">
        <x:v>Build Complete</x:v>
      </x:c>
      <x:c r="P22" s="19" t="str">
        <x:v>Baselined</x:v>
      </x:c>
    </x:row>
    <x:row r="23">
      <x:c r="A23" s="19" t="str">
        <x:v>3.1.2</x:v>
      </x:c>
      <x:c r="B23" s="19" t="str">
        <x:v>3.0 Application Development</x:v>
      </x:c>
      <x:c r="C23" s="19" t="str">
        <x:v>3.1 Application Foundation</x:v>
      </x:c>
      <x:c r="D23" s="19" t="str">
        <x:v>Role-Based Access Implementation</x:v>
      </x:c>
      <x:c r="E23" s="19" t="str">
        <x:v>Application Development</x:v>
      </x:c>
      <x:c r="F23" s="19" t="str">
        <x:v>Implement role profiles, permission controls, authentication integration hooks, and audit-related access controls.</x:v>
      </x:c>
      <x:c r="G23" s="19" t="str">
        <x:v>Configured RBAC model</x:v>
      </x:c>
      <x:c r="H23" s="19" t="str">
        <x:v>Access tests demonstrate approved role permissions and least-privilege behavior.</x:v>
      </x:c>
      <x:c r="I23" s="19" t="str">
        <x:v>Application Development Lead</x:v>
      </x:c>
      <x:c r="J23" s="19" t="str">
        <x:v>Information Security</x:v>
      </x:c>
      <x:c r="K23" s="19" t="str">
        <x:v>2.2.4,3.1.1</x:v>
      </x:c>
      <x:c r="L23" s="19" t="str">
        <x:v>SEC-001,INT-001,BUS-002</x:v>
      </x:c>
      <x:c r="M23" s="19" t="str">
        <x:v>Role matrix is approved before final configuration.</x:v>
      </x:c>
      <x:c r="N23" s="19" t="str">
        <x:v>Internal / Contract Resources</x:v>
      </x:c>
      <x:c r="O23" s="19" t="str">
        <x:v>Build Complete</x:v>
      </x:c>
      <x:c r="P23" s="19" t="str">
        <x:v>Baselined</x:v>
      </x:c>
    </x:row>
    <x:row r="24">
      <x:c r="A24" s="19" t="str">
        <x:v>3.2.1</x:v>
      </x:c>
      <x:c r="B24" s="19" t="str">
        <x:v>3.0 Application Development</x:v>
      </x:c>
      <x:c r="C24" s="19" t="str">
        <x:v>3.2 Business Workflow Features</x:v>
      </x:c>
      <x:c r="D24" s="19" t="str">
        <x:v>Record Management Workflow</x:v>
      </x:c>
      <x:c r="E24" s="19" t="str">
        <x:v>Application Development</x:v>
      </x:c>
      <x:c r="F24" s="19" t="str">
        <x:v>Develop core create, review, update, submit, and status-management functionality for regulated records.</x:v>
      </x:c>
      <x:c r="G24" s="19" t="str">
        <x:v>Record management feature set</x:v>
      </x:c>
      <x:c r="H24" s="19" t="str">
        <x:v>Approved end-to-end workflow scenarios execute successfully in developer verification.</x:v>
      </x:c>
      <x:c r="I24" s="19" t="str">
        <x:v>Application Development Lead</x:v>
      </x:c>
      <x:c r="J24" s="19" t="str">
        <x:v>Business Owner</x:v>
      </x:c>
      <x:c r="K24" s="19" t="str">
        <x:v>3.1.1,2.2.1</x:v>
      </x:c>
      <x:c r="L24" s="19" t="str">
        <x:v>BUS-001,FUN-001</x:v>
      </x:c>
      <x:c r="M24" s="19" t="str">
        <x:v>Business rules remain stable after design approval.</x:v>
      </x:c>
      <x:c r="N24" s="19" t="str">
        <x:v>Internal / Contract Resources</x:v>
      </x:c>
      <x:c r="O24" s="19" t="str">
        <x:v>Build Complete</x:v>
      </x:c>
      <x:c r="P24" s="19" t="str">
        <x:v>Baselined</x:v>
      </x:c>
    </x:row>
    <x:row r="25">
      <x:c r="A25" s="19" t="str">
        <x:v>3.2.2</x:v>
      </x:c>
      <x:c r="B25" s="19" t="str">
        <x:v>3.0 Application Development</x:v>
      </x:c>
      <x:c r="C25" s="19" t="str">
        <x:v>3.2 Business Workflow Features</x:v>
      </x:c>
      <x:c r="D25" s="19" t="str">
        <x:v>Approval Routing &amp; Business Rules</x:v>
      </x:c>
      <x:c r="E25" s="19" t="str">
        <x:v>Application Development</x:v>
      </x:c>
      <x:c r="F25" s="19" t="str">
        <x:v>Implement configurable approvals, routing logic, validation rules, and workflow-state transitions.</x:v>
      </x:c>
      <x:c r="G25" s="19" t="str">
        <x:v>Approval routing and business-rule features</x:v>
      </x:c>
      <x:c r="H25" s="19" t="str">
        <x:v>Approved routing scenarios produce expected decisions and audit events.</x:v>
      </x:c>
      <x:c r="I25" s="19" t="str">
        <x:v>Application Development Lead</x:v>
      </x:c>
      <x:c r="J25" s="19" t="str">
        <x:v>Business Owner</x:v>
      </x:c>
      <x:c r="K25" s="19" t="str">
        <x:v>3.2.1</x:v>
      </x:c>
      <x:c r="L25" s="19" t="str">
        <x:v>FUN-002,BUS-002</x:v>
      </x:c>
      <x:c r="M25" s="19" t="str">
        <x:v>Approval hierarchy is provided by Business Owner.</x:v>
      </x:c>
      <x:c r="N25" s="19" t="str">
        <x:v>Internal / Contract Resources</x:v>
      </x:c>
      <x:c r="O25" s="19" t="str">
        <x:v>Build Complete</x:v>
      </x:c>
      <x:c r="P25" s="19" t="str">
        <x:v>Baselined</x:v>
      </x:c>
    </x:row>
    <x:row r="26">
      <x:c r="A26" s="19" t="str">
        <x:v>3.2.3</x:v>
      </x:c>
      <x:c r="B26" s="19" t="str">
        <x:v>3.0 Application Development</x:v>
      </x:c>
      <x:c r="C26" s="19" t="str">
        <x:v>3.2 Business Workflow Features</x:v>
      </x:c>
      <x:c r="D26" s="19" t="str">
        <x:v>Search, Reporting &amp; Audit Features</x:v>
      </x:c>
      <x:c r="E26" s="19" t="str">
        <x:v>Application Development</x:v>
      </x:c>
      <x:c r="F26" s="19" t="str">
        <x:v>Implement approved search, filtering, operational reporting, audit display, and retrieval capabilities.</x:v>
      </x:c>
      <x:c r="G26" s="19" t="str">
        <x:v>Search/reporting/audit feature set</x:v>
      </x:c>
      <x:c r="H26" s="19" t="str">
        <x:v>Search and reports meet approved functional and data-accuracy criteria.</x:v>
      </x:c>
      <x:c r="I26" s="19" t="str">
        <x:v>Application Development Lead</x:v>
      </x:c>
      <x:c r="J26" s="19" t="str">
        <x:v>Business Owner</x:v>
      </x:c>
      <x:c r="K26" s="19" t="str">
        <x:v>3.2.1</x:v>
      </x:c>
      <x:c r="L26" s="19" t="str">
        <x:v>FUN-003,FUN-004,BUS-002</x:v>
      </x:c>
      <x:c r="M26" s="19" t="str">
        <x:v>Reporting uses approved operational data model.</x:v>
      </x:c>
      <x:c r="N26" s="19" t="str">
        <x:v>Internal / Contract Resources</x:v>
      </x:c>
      <x:c r="O26" s="19" t="str">
        <x:v>Build Complete</x:v>
      </x:c>
      <x:c r="P26" s="19" t="str">
        <x:v>Baselined</x:v>
      </x:c>
    </x:row>
    <x:row r="27">
      <x:c r="A27" s="19" t="str">
        <x:v>3.2.4</x:v>
      </x:c>
      <x:c r="B27" s="19" t="str">
        <x:v>3.0 Application Development</x:v>
      </x:c>
      <x:c r="C27" s="19" t="str">
        <x:v>3.2 Business Workflow Features</x:v>
      </x:c>
      <x:c r="D27" s="19" t="str">
        <x:v>Workflow Notifications</x:v>
      </x:c>
      <x:c r="E27" s="19" t="str">
        <x:v>Application Development</x:v>
      </x:c>
      <x:c r="F27" s="19" t="str">
        <x:v>Implement workflow-trigger logic and notification payload generation for designated business events.</x:v>
      </x:c>
      <x:c r="G27" s="19" t="str">
        <x:v>Notification feature configuration</x:v>
      </x:c>
      <x:c r="H27" s="19" t="str">
        <x:v>Configured workflow events generate correct notification requests without duplicates.</x:v>
      </x:c>
      <x:c r="I27" s="19" t="str">
        <x:v>Application Development Lead</x:v>
      </x:c>
      <x:c r="J27" s="19" t="str">
        <x:v>Business Owner</x:v>
      </x:c>
      <x:c r="K27" s="19" t="str">
        <x:v>3.2.2,2.2.2</x:v>
      </x:c>
      <x:c r="L27" s="19" t="str">
        <x:v>FUN-005,INT-004</x:v>
      </x:c>
      <x:c r="M27" s="19" t="str">
        <x:v>Enterprise Notification service remains available for integration testing.</x:v>
      </x:c>
      <x:c r="N27" s="19" t="str">
        <x:v>Internal / Contract Resources</x:v>
      </x:c>
      <x:c r="O27" s="19" t="str">
        <x:v>Build Complete</x:v>
      </x:c>
      <x:c r="P27" s="19" t="str">
        <x:v>Baselined</x:v>
      </x:c>
    </x:row>
    <x:row r="28">
      <x:c r="A28" s="19" t="str">
        <x:v>3.3.1</x:v>
      </x:c>
      <x:c r="B28" s="19" t="str">
        <x:v>3.0 Application Development</x:v>
      </x:c>
      <x:c r="C28" s="19" t="str">
        <x:v>3.3 Application Release Candidate</x:v>
      </x:c>
      <x:c r="D28" s="19" t="str">
        <x:v>Developer Verification &amp; Code Quality</x:v>
      </x:c>
      <x:c r="E28" s="19" t="str">
        <x:v>Application Development</x:v>
      </x:c>
      <x:c r="F28" s="19" t="str">
        <x:v>Complete unit/developer verification, static/code-quality checks, defect remediation, and release readiness for formal testing.</x:v>
      </x:c>
      <x:c r="G28" s="19" t="str">
        <x:v>Developer verification evidence; Code-quality results</x:v>
      </x:c>
      <x:c r="H28" s="19" t="str">
        <x:v>No open blocker defects and defined code-quality thresholds are met.</x:v>
      </x:c>
      <x:c r="I28" s="19" t="str">
        <x:v>Application Development Lead</x:v>
      </x:c>
      <x:c r="J28" s="19" t="str">
        <x:v>Technology Lead</x:v>
      </x:c>
      <x:c r="K28" s="19" t="str">
        <x:v>3.1–3.2 work packages</x:v>
      </x:c>
      <x:c r="L28" s="19" t="str">
        <x:v>All application requirements</x:v>
      </x:c>
      <x:c r="M28" s="19" t="str">
        <x:v>Development team follows enterprise engineering standards.</x:v>
      </x:c>
      <x:c r="N28" s="19" t="str">
        <x:v>Internal / Contract Resources</x:v>
      </x:c>
      <x:c r="O28" s="19" t="str">
        <x:v>Build Complete</x:v>
      </x:c>
      <x:c r="P28" s="19" t="str">
        <x:v>Baselined</x:v>
      </x:c>
    </x:row>
    <x:row r="29">
      <x:c r="A29" s="19" t="str">
        <x:v>3.3.2</x:v>
      </x:c>
      <x:c r="B29" s="19" t="str">
        <x:v>3.0 Application Development</x:v>
      </x:c>
      <x:c r="C29" s="19" t="str">
        <x:v>3.3 Application Release Candidate</x:v>
      </x:c>
      <x:c r="D29" s="19" t="str">
        <x:v>Application Release Candidate Package</x:v>
      </x:c>
      <x:c r="E29" s="19" t="str">
        <x:v>Application Development</x:v>
      </x:c>
      <x:c r="F29" s="19" t="str">
        <x:v>Package the approved application build and supporting technical documentation for controlled testing.</x:v>
      </x:c>
      <x:c r="G29" s="19" t="str">
        <x:v>Release candidate build and release notes</x:v>
      </x:c>
      <x:c r="H29" s="19" t="str">
        <x:v>Release candidate is deployable to the controlled test environment and configuration is versioned.</x:v>
      </x:c>
      <x:c r="I29" s="19" t="str">
        <x:v>Application Development Lead</x:v>
      </x:c>
      <x:c r="J29" s="19" t="str">
        <x:v>Technology Lead</x:v>
      </x:c>
      <x:c r="K29" s="19" t="str">
        <x:v>3.3.1</x:v>
      </x:c>
      <x:c r="L29" s="19" t="str">
        <x:v>All application requirements</x:v>
      </x:c>
      <x:c r="M29" s="19" t="str">
        <x:v>Configuration management process is available.</x:v>
      </x:c>
      <x:c r="N29" s="19" t="str">
        <x:v>Software &amp; Licensing</x:v>
      </x:c>
      <x:c r="O29" s="19" t="str">
        <x:v>Build Complete</x:v>
      </x:c>
      <x:c r="P29" s="19" t="str">
        <x:v>Baselined</x:v>
      </x:c>
    </x:row>
    <x:row r="30">
      <x:c r="A30" s="19" t="str">
        <x:v>4.1.1</x:v>
      </x:c>
      <x:c r="B30" s="19" t="str">
        <x:v>4.0 Integration &amp; Data Migration</x:v>
      </x:c>
      <x:c r="C30" s="19" t="str">
        <x:v>4.1 Enterprise Integrations</x:v>
      </x:c>
      <x:c r="D30" s="19" t="str">
        <x:v>Identity &amp; Access Management Integration</x:v>
      </x:c>
      <x:c r="E30" s="19" t="str">
        <x:v>Integration &amp; Data Migration</x:v>
      </x:c>
      <x:c r="F30" s="19" t="str">
        <x:v>Build and configure authentication/identity integration with enterprise IAM.</x:v>
      </x:c>
      <x:c r="G30" s="19" t="str">
        <x:v>IAM integration</x:v>
      </x:c>
      <x:c r="H30" s="19" t="str">
        <x:v>Approved users authenticate successfully and unauthorized users are rejected during integration testing.</x:v>
      </x:c>
      <x:c r="I30" s="19" t="str">
        <x:v>Integration &amp; Data Migration Lead</x:v>
      </x:c>
      <x:c r="J30" s="19" t="str">
        <x:v>Information Security</x:v>
      </x:c>
      <x:c r="K30" s="19" t="str">
        <x:v>2.2.2,2.2.4,3.1.2</x:v>
      </x:c>
      <x:c r="L30" s="19" t="str">
        <x:v>INT-001,SEC-001</x:v>
      </x:c>
      <x:c r="M30" s="19" t="str">
        <x:v>Enterprise IAM interface is available.</x:v>
      </x:c>
      <x:c r="N30" s="19" t="str">
        <x:v>Internal / Contract Resources</x:v>
      </x:c>
      <x:c r="O30" s="19" t="str">
        <x:v>Integration Build Complete</x:v>
      </x:c>
      <x:c r="P30" s="19" t="str">
        <x:v>Baselined</x:v>
      </x:c>
    </x:row>
    <x:row r="31">
      <x:c r="A31" s="19" t="str">
        <x:v>4.1.2</x:v>
      </x:c>
      <x:c r="B31" s="19" t="str">
        <x:v>4.0 Integration &amp; Data Migration</x:v>
      </x:c>
      <x:c r="C31" s="19" t="str">
        <x:v>4.1 Enterprise Integrations</x:v>
      </x:c>
      <x:c r="D31" s="19" t="str">
        <x:v>Enterprise Master Data Integration</x:v>
      </x:c>
      <x:c r="E31" s="19" t="str">
        <x:v>Integration &amp; Data Migration</x:v>
      </x:c>
      <x:c r="F31" s="19" t="str">
        <x:v>Build interface to retrieve required reference/master data from enterprise service.</x:v>
      </x:c>
      <x:c r="G31" s="19" t="str">
        <x:v>Master Data integration</x:v>
      </x:c>
      <x:c r="H31" s="19" t="str">
        <x:v>Approved reference entities are received and mapped accurately.</x:v>
      </x:c>
      <x:c r="I31" s="19" t="str">
        <x:v>Integration &amp; Data Migration Lead</x:v>
      </x:c>
      <x:c r="J31" s="19" t="str">
        <x:v>Technology Lead</x:v>
      </x:c>
      <x:c r="K31" s="19" t="str">
        <x:v>2.2.2</x:v>
      </x:c>
      <x:c r="L31" s="19" t="str">
        <x:v>INT-002</x:v>
      </x:c>
      <x:c r="M31" s="19" t="str">
        <x:v>Enterprise Master Data service supports agreed interface.</x:v>
      </x:c>
      <x:c r="N31" s="19" t="str">
        <x:v>Internal / Contract Resources</x:v>
      </x:c>
      <x:c r="O31" s="19" t="str">
        <x:v>Integration Build Complete</x:v>
      </x:c>
      <x:c r="P31" s="19" t="str">
        <x:v>Baselined</x:v>
      </x:c>
    </x:row>
    <x:row r="32">
      <x:c r="A32" s="19" t="str">
        <x:v>4.1.3</x:v>
      </x:c>
      <x:c r="B32" s="19" t="str">
        <x:v>4.0 Integration &amp; Data Migration</x:v>
      </x:c>
      <x:c r="C32" s="19" t="str">
        <x:v>4.1 Enterprise Integrations</x:v>
      </x:c>
      <x:c r="D32" s="19" t="str">
        <x:v>Records Management Integration</x:v>
      </x:c>
      <x:c r="E32" s="19" t="str">
        <x:v>Integration &amp; Data Migration</x:v>
      </x:c>
      <x:c r="F32" s="19" t="str">
        <x:v>Build transfer and retrieval linkage with enterprise records-management platform.</x:v>
      </x:c>
      <x:c r="G32" s="19" t="str">
        <x:v>Records Management integration</x:v>
      </x:c>
      <x:c r="H32" s="19" t="str">
        <x:v>Approved final records transfer with required metadata and are retrievable.</x:v>
      </x:c>
      <x:c r="I32" s="19" t="str">
        <x:v>Integration &amp; Data Migration Lead</x:v>
      </x:c>
      <x:c r="J32" s="19" t="str">
        <x:v>Quality / Compliance</x:v>
      </x:c>
      <x:c r="K32" s="19" t="str">
        <x:v>2.2.2</x:v>
      </x:c>
      <x:c r="L32" s="19" t="str">
        <x:v>INT-003</x:v>
      </x:c>
      <x:c r="M32" s="19" t="str">
        <x:v>Records platform metadata standards remain stable.</x:v>
      </x:c>
      <x:c r="N32" s="19" t="str">
        <x:v>Internal / Contract Resources</x:v>
      </x:c>
      <x:c r="O32" s="19" t="str">
        <x:v>Integration Build Complete</x:v>
      </x:c>
      <x:c r="P32" s="19" t="str">
        <x:v>Baselined</x:v>
      </x:c>
    </x:row>
    <x:row r="33">
      <x:c r="A33" s="19" t="str">
        <x:v>4.1.4</x:v>
      </x:c>
      <x:c r="B33" s="19" t="str">
        <x:v>4.0 Integration &amp; Data Migration</x:v>
      </x:c>
      <x:c r="C33" s="19" t="str">
        <x:v>4.1 Enterprise Integrations</x:v>
      </x:c>
      <x:c r="D33" s="19" t="str">
        <x:v>Enterprise Notification Integration</x:v>
      </x:c>
      <x:c r="E33" s="19" t="str">
        <x:v>Integration &amp; Data Migration</x:v>
      </x:c>
      <x:c r="F33" s="19" t="str">
        <x:v>Build integration to enterprise notification service for configured workflow events.</x:v>
      </x:c>
      <x:c r="G33" s="19" t="str">
        <x:v>Notification integration</x:v>
      </x:c>
      <x:c r="H33" s="19" t="str">
        <x:v>Messages are delivered for configured events with correct payload and no duplicate delivery.</x:v>
      </x:c>
      <x:c r="I33" s="19" t="str">
        <x:v>Integration &amp; Data Migration Lead</x:v>
      </x:c>
      <x:c r="J33" s="19" t="str">
        <x:v>Technology Lead</x:v>
      </x:c>
      <x:c r="K33" s="19" t="str">
        <x:v>2.2.2,3.2.4</x:v>
      </x:c>
      <x:c r="L33" s="19" t="str">
        <x:v>INT-004,FUN-005</x:v>
      </x:c>
      <x:c r="M33" s="19" t="str">
        <x:v>Notification service supports agreed throughput.</x:v>
      </x:c>
      <x:c r="N33" s="19" t="str">
        <x:v>Internal / Contract Resources</x:v>
      </x:c>
      <x:c r="O33" s="19" t="str">
        <x:v>Integration Build Complete</x:v>
      </x:c>
      <x:c r="P33" s="19" t="str">
        <x:v>Baselined</x:v>
      </x:c>
    </x:row>
    <x:row r="34">
      <x:c r="A34" s="19" t="str">
        <x:v>4.2.1</x:v>
      </x:c>
      <x:c r="B34" s="19" t="str">
        <x:v>4.0 Integration &amp; Data Migration</x:v>
      </x:c>
      <x:c r="C34" s="19" t="str">
        <x:v>4.2 Data Migration</x:v>
      </x:c>
      <x:c r="D34" s="19" t="str">
        <x:v>Source Data Profiling &amp; Mapping</x:v>
      </x:c>
      <x:c r="E34" s="19" t="str">
        <x:v>Integration &amp; Data Migration</x:v>
      </x:c>
      <x:c r="F34" s="19" t="str">
        <x:v>Profile source data and establish approved source-to-target mapping, quality findings, and cleansing actions.</x:v>
      </x:c>
      <x:c r="G34" s="19" t="str">
        <x:v>Data profiling report; Mapping specification</x:v>
      </x:c>
      <x:c r="H34" s="19" t="str">
        <x:v>In-scope fields have approved mapping and material data-quality issues have disposition.</x:v>
      </x:c>
      <x:c r="I34" s="19" t="str">
        <x:v>Integration &amp; Data Migration Lead</x:v>
      </x:c>
      <x:c r="J34" s="19" t="str">
        <x:v>Business Owner</x:v>
      </x:c>
      <x:c r="K34" s="19" t="str">
        <x:v>2.2.3</x:v>
      </x:c>
      <x:c r="L34" s="19" t="str">
        <x:v>DAT-001–DAT-003</x:v>
      </x:c>
      <x:c r="M34" s="19" t="str">
        <x:v>Source extracts are available and representative.</x:v>
      </x:c>
      <x:c r="N34" s="19" t="str">
        <x:v>Internal / Contract Resources</x:v>
      </x:c>
      <x:c r="O34" s="19" t="str">
        <x:v>Migration Design Complete</x:v>
      </x:c>
      <x:c r="P34" s="19" t="str">
        <x:v>Baselined</x:v>
      </x:c>
    </x:row>
    <x:row r="35">
      <x:c r="A35" s="19" t="str">
        <x:v>4.2.2</x:v>
      </x:c>
      <x:c r="B35" s="19" t="str">
        <x:v>4.0 Integration &amp; Data Migration</x:v>
      </x:c>
      <x:c r="C35" s="19" t="str">
        <x:v>4.2 Data Migration</x:v>
      </x:c>
      <x:c r="D35" s="19" t="str">
        <x:v>Migration Development &amp; Reconciliation Controls</x:v>
      </x:c>
      <x:c r="E35" s="19" t="str">
        <x:v>Integration &amp; Data Migration</x:v>
      </x:c>
      <x:c r="F35" s="19" t="str">
        <x:v>Develop migration routines, transformation logic, exception handling, and reconciliation controls.</x:v>
      </x:c>
      <x:c r="G35" s="19" t="str">
        <x:v>Migration scripts; Reconciliation controls</x:v>
      </x:c>
      <x:c r="H35" s="19" t="str">
        <x:v>Migration routines process approved sample data and reconcile to expected control totals.</x:v>
      </x:c>
      <x:c r="I35" s="19" t="str">
        <x:v>Integration &amp; Data Migration Lead</x:v>
      </x:c>
      <x:c r="J35" s="19" t="str">
        <x:v>Technology Lead</x:v>
      </x:c>
      <x:c r="K35" s="19" t="str">
        <x:v>4.2.1</x:v>
      </x:c>
      <x:c r="L35" s="19" t="str">
        <x:v>DAT-001–DAT-003</x:v>
      </x:c>
      <x:c r="M35" s="19" t="str">
        <x:v>Cleansing rules are approved before final migration logic.</x:v>
      </x:c>
      <x:c r="N35" s="19" t="str">
        <x:v>Internal / Contract Resources</x:v>
      </x:c>
      <x:c r="O35" s="19" t="str">
        <x:v>Migration Build Complete</x:v>
      </x:c>
      <x:c r="P35" s="19" t="str">
        <x:v>Baselined</x:v>
      </x:c>
    </x:row>
    <x:row r="36">
      <x:c r="A36" s="19" t="str">
        <x:v>4.2.3</x:v>
      </x:c>
      <x:c r="B36" s="19" t="str">
        <x:v>4.0 Integration &amp; Data Migration</x:v>
      </x:c>
      <x:c r="C36" s="19" t="str">
        <x:v>4.2 Data Migration</x:v>
      </x:c>
      <x:c r="D36" s="19" t="str">
        <x:v>Trial Migration &amp; Reconciliation</x:v>
      </x:c>
      <x:c r="E36" s="19" t="str">
        <x:v>Integration &amp; Data Migration</x:v>
      </x:c>
      <x:c r="F36" s="19" t="str">
        <x:v>Execute controlled trial migration to validate runtime, mapping, transformations, exceptions, and reconciliation.</x:v>
      </x:c>
      <x:c r="G36" s="19" t="str">
        <x:v>Trial migration results; Reconciliation report</x:v>
      </x:c>
      <x:c r="H36" s="19" t="str">
        <x:v>Trial migration meets agreed completeness/accuracy thresholds and issues have remediation plans.</x:v>
      </x:c>
      <x:c r="I36" s="19" t="str">
        <x:v>Integration &amp; Data Migration Lead</x:v>
      </x:c>
      <x:c r="J36" s="19" t="str">
        <x:v>Business Owner</x:v>
      </x:c>
      <x:c r="K36" s="19" t="str">
        <x:v>4.2.2, test environment readiness</x:v>
      </x:c>
      <x:c r="L36" s="19" t="str">
        <x:v>DAT-001–DAT-003</x:v>
      </x:c>
      <x:c r="M36" s="19" t="str">
        <x:v>Trial data volume is representative of production.</x:v>
      </x:c>
      <x:c r="N36" s="19" t="str">
        <x:v>Cloud &amp; Infrastructure</x:v>
      </x:c>
      <x:c r="O36" s="19" t="str">
        <x:v>Validation &amp; UAT Readiness</x:v>
      </x:c>
      <x:c r="P36" s="19" t="str">
        <x:v>Baselined</x:v>
      </x:c>
    </x:row>
    <x:row r="37">
      <x:c r="A37" s="19" t="str">
        <x:v>4.2.4</x:v>
      </x:c>
      <x:c r="B37" s="19" t="str">
        <x:v>4.0 Integration &amp; Data Migration</x:v>
      </x:c>
      <x:c r="C37" s="19" t="str">
        <x:v>4.2 Data Migration</x:v>
      </x:c>
      <x:c r="D37" s="19" t="str">
        <x:v>Production Migration &amp; Final Reconciliation</x:v>
      </x:c>
      <x:c r="E37" s="19" t="str">
        <x:v>Integration &amp; Data Migration</x:v>
      </x:c>
      <x:c r="F37" s="19" t="str">
        <x:v>Execute production migration during approved cutover and complete final business/technical reconciliation.</x:v>
      </x:c>
      <x:c r="G37" s="19" t="str">
        <x:v>Production migration evidence; Final reconciliation approval</x:v>
      </x:c>
      <x:c r="H37" s="19" t="str">
        <x:v>Approved active records are migrated or formally exceptioned and reconciliation is signed off.</x:v>
      </x:c>
      <x:c r="I37" s="19" t="str">
        <x:v>Integration &amp; Data Migration Lead</x:v>
      </x:c>
      <x:c r="J37" s="19" t="str">
        <x:v>Business Owner</x:v>
      </x:c>
      <x:c r="K37" s="19" t="str">
        <x:v>4.2.3,7.1.3</x:v>
      </x:c>
      <x:c r="L37" s="19" t="str">
        <x:v>DAT-001–DAT-003</x:v>
      </x:c>
      <x:c r="M37" s="19" t="str">
        <x:v>Production data freeze/cutover window is approved.</x:v>
      </x:c>
      <x:c r="N37" s="19" t="str">
        <x:v>Cloud &amp; Infrastructure</x:v>
      </x:c>
      <x:c r="O37" s="19" t="str">
        <x:v>Production Go-Live</x:v>
      </x:c>
      <x:c r="P37" s="19" t="str">
        <x:v>Baselined</x:v>
      </x:c>
    </x:row>
    <x:row r="38">
      <x:c r="A38" s="19" t="str">
        <x:v>5.1.1</x:v>
      </x:c>
      <x:c r="B38" s="19" t="str">
        <x:v>5.0 Testing &amp; Validation</x:v>
      </x:c>
      <x:c r="C38" s="19" t="str">
        <x:v>5.1 Test &amp; Validation Preparation</x:v>
      </x:c>
      <x:c r="D38" s="19" t="str">
        <x:v>Test &amp; Validation Strategy</x:v>
      </x:c>
      <x:c r="E38" s="19" t="str">
        <x:v>Testing &amp; Validation</x:v>
      </x:c>
      <x:c r="F38" s="19" t="str">
        <x:v>Define test levels, validation approach, entry/exit criteria, environments, defect governance, and evidence requirements.</x:v>
      </x:c>
      <x:c r="G38" s="19" t="str">
        <x:v>Approved Test &amp; Validation Strategy</x:v>
      </x:c>
      <x:c r="H38" s="19" t="str">
        <x:v>Strategy addresses regulated requirements, technical verification, UAT, and traceability.</x:v>
      </x:c>
      <x:c r="I38" s="19" t="str">
        <x:v>Validation &amp; Deployment Lead</x:v>
      </x:c>
      <x:c r="J38" s="19" t="str">
        <x:v>Quality / Compliance</x:v>
      </x:c>
      <x:c r="K38" s="19" t="str">
        <x:v>2.1 baseline and solution approach</x:v>
      </x:c>
      <x:c r="L38" s="19" t="str">
        <x:v>REG-001,REG-002</x:v>
      </x:c>
      <x:c r="M38" s="19" t="str">
        <x:v>Quality authority participates in planning.</x:v>
      </x:c>
      <x:c r="N38" s="19" t="str">
        <x:v>Validation &amp; Security Services</x:v>
      </x:c>
      <x:c r="O38" s="19" t="str">
        <x:v>Test Planning Complete</x:v>
      </x:c>
      <x:c r="P38" s="19" t="str">
        <x:v>Baselined</x:v>
      </x:c>
    </x:row>
    <x:row r="39">
      <x:c r="A39" s="19" t="str">
        <x:v>5.1.2</x:v>
      </x:c>
      <x:c r="B39" s="19" t="str">
        <x:v>5.0 Testing &amp; Validation</x:v>
      </x:c>
      <x:c r="C39" s="19" t="str">
        <x:v>5.1 Test &amp; Validation Preparation</x:v>
      </x:c>
      <x:c r="D39" s="19" t="str">
        <x:v>Test Cases, Test Data &amp; Environment Readiness</x:v>
      </x:c>
      <x:c r="E39" s="19" t="str">
        <x:v>Testing &amp; Validation</x:v>
      </x:c>
      <x:c r="F39" s="19" t="str">
        <x:v>Prepare traceable test cases, representative test data, and validated test-environment readiness.</x:v>
      </x:c>
      <x:c r="G39" s="19" t="str">
        <x:v>Test cases; Test data; Environment readiness confirmation</x:v>
      </x:c>
      <x:c r="H39" s="19" t="str">
        <x:v>Required test coverage is mapped to RTM and environments/data are ready for execution.</x:v>
      </x:c>
      <x:c r="I39" s="19" t="str">
        <x:v>Validation &amp; Deployment Lead</x:v>
      </x:c>
      <x:c r="J39" s="19" t="str">
        <x:v>Quality / Compliance</x:v>
      </x:c>
      <x:c r="K39" s="19" t="str">
        <x:v>5.1.1,2.2.6</x:v>
      </x:c>
      <x:c r="L39" s="19" t="str">
        <x:v>All baseline requirements</x:v>
      </x:c>
      <x:c r="M39" s="19" t="str">
        <x:v>Environment and test-data access is available.</x:v>
      </x:c>
      <x:c r="N39" s="19" t="str">
        <x:v>Validation &amp; Security Services</x:v>
      </x:c>
      <x:c r="O39" s="19" t="str">
        <x:v>System Testing Start</x:v>
      </x:c>
      <x:c r="P39" s="19" t="str">
        <x:v>Baselined</x:v>
      </x:c>
    </x:row>
    <x:row r="40">
      <x:c r="A40" s="19" t="str">
        <x:v>5.2.1</x:v>
      </x:c>
      <x:c r="B40" s="19" t="str">
        <x:v>5.0 Testing &amp; Validation</x:v>
      </x:c>
      <x:c r="C40" s="19" t="str">
        <x:v>5.2 Technical Verification</x:v>
      </x:c>
      <x:c r="D40" s="19" t="str">
        <x:v>System &amp; Regression Testing</x:v>
      </x:c>
      <x:c r="E40" s="19" t="str">
        <x:v>Testing &amp; Validation</x:v>
      </x:c>
      <x:c r="F40" s="19" t="str">
        <x:v>Execute system and regression tests for application features and resolved defects.</x:v>
      </x:c>
      <x:c r="G40" s="19" t="str">
        <x:v>System test results; Regression results</x:v>
      </x:c>
      <x:c r="H40" s="19" t="str">
        <x:v>Exit criteria are met and no unresolved blocker defects remain.</x:v>
      </x:c>
      <x:c r="I40" s="19" t="str">
        <x:v>Validation &amp; Deployment Lead</x:v>
      </x:c>
      <x:c r="J40" s="19" t="str">
        <x:v>Technology Lead</x:v>
      </x:c>
      <x:c r="K40" s="19" t="str">
        <x:v>3.3.2,5.1.2</x:v>
      </x:c>
      <x:c r="L40" s="19" t="str">
        <x:v>BUS/FUN/NFR applicable requirements</x:v>
      </x:c>
      <x:c r="M40" s="19" t="str">
        <x:v>Release candidate is configuration-controlled.</x:v>
      </x:c>
      <x:c r="N40" s="19" t="str">
        <x:v>Validation &amp; Security Services</x:v>
      </x:c>
      <x:c r="O40" s="19" t="str">
        <x:v>System Testing Complete</x:v>
      </x:c>
      <x:c r="P40" s="19" t="str">
        <x:v>Baselined</x:v>
      </x:c>
    </x:row>
    <x:row r="41">
      <x:c r="A41" s="19" t="str">
        <x:v>5.2.2</x:v>
      </x:c>
      <x:c r="B41" s="19" t="str">
        <x:v>5.0 Testing &amp; Validation</x:v>
      </x:c>
      <x:c r="C41" s="19" t="str">
        <x:v>5.2 Technical Verification</x:v>
      </x:c>
      <x:c r="D41" s="19" t="str">
        <x:v>Integration Testing</x:v>
      </x:c>
      <x:c r="E41" s="19" t="str">
        <x:v>Testing &amp; Validation</x:v>
      </x:c>
      <x:c r="F41" s="19" t="str">
        <x:v>Execute end-to-end integration tests across all four enterprise interfaces and error scenarios.</x:v>
      </x:c>
      <x:c r="G41" s="19" t="str">
        <x:v>Integration test results</x:v>
      </x:c>
      <x:c r="H41" s="19" t="str">
        <x:v>All critical interface scenarios pass or have approved disposition.</x:v>
      </x:c>
      <x:c r="I41" s="19" t="str">
        <x:v>Validation &amp; Deployment Lead</x:v>
      </x:c>
      <x:c r="J41" s="19" t="str">
        <x:v>Technology Lead</x:v>
      </x:c>
      <x:c r="K41" s="19" t="str">
        <x:v>4.1.1–4.1.4,5.1.2</x:v>
      </x:c>
      <x:c r="L41" s="19" t="str">
        <x:v>INT-001–INT-004</x:v>
      </x:c>
      <x:c r="M41" s="19" t="str">
        <x:v>Connected test endpoints remain available.</x:v>
      </x:c>
      <x:c r="N41" s="19" t="str">
        <x:v>Validation &amp; Security Services</x:v>
      </x:c>
      <x:c r="O41" s="19" t="str">
        <x:v>Integration Testing Complete</x:v>
      </x:c>
      <x:c r="P41" s="19" t="str">
        <x:v>Baselined</x:v>
      </x:c>
    </x:row>
    <x:row r="42">
      <x:c r="A42" s="19" t="str">
        <x:v>5.2.3</x:v>
      </x:c>
      <x:c r="B42" s="19" t="str">
        <x:v>5.0 Testing &amp; Validation</x:v>
      </x:c>
      <x:c r="C42" s="19" t="str">
        <x:v>5.2 Technical Verification</x:v>
      </x:c>
      <x:c r="D42" s="19" t="str">
        <x:v>Performance Testing</x:v>
      </x:c>
      <x:c r="E42" s="19" t="str">
        <x:v>Testing &amp; Validation</x:v>
      </x:c>
      <x:c r="F42" s="19" t="str">
        <x:v>Validate approved concurrency, response-time, and operational performance thresholds.</x:v>
      </x:c>
      <x:c r="G42" s="19" t="str">
        <x:v>Performance test report</x:v>
      </x:c>
      <x:c r="H42" s="19" t="str">
        <x:v>500-user workload and defined response thresholds meet approved NFR criteria or have accepted remediation.</x:v>
      </x:c>
      <x:c r="I42" s="19" t="str">
        <x:v>Validation &amp; Deployment Lead</x:v>
      </x:c>
      <x:c r="J42" s="19" t="str">
        <x:v>Technology Lead</x:v>
      </x:c>
      <x:c r="K42" s="19" t="str">
        <x:v>5.2.1 and stable integrated build</x:v>
      </x:c>
      <x:c r="L42" s="19" t="str">
        <x:v>NFR-001,NFR-002</x:v>
      </x:c>
      <x:c r="M42" s="19" t="str">
        <x:v>Performance environment is representative enough for decision-making.</x:v>
      </x:c>
      <x:c r="N42" s="19" t="str">
        <x:v>Validation &amp; Security Services</x:v>
      </x:c>
      <x:c r="O42" s="19" t="str">
        <x:v>Technical Verification Complete</x:v>
      </x:c>
      <x:c r="P42" s="19" t="str">
        <x:v>Baselined</x:v>
      </x:c>
    </x:row>
    <x:row r="43">
      <x:c r="A43" s="19" t="str">
        <x:v>5.2.4</x:v>
      </x:c>
      <x:c r="B43" s="19" t="str">
        <x:v>5.0 Testing &amp; Validation</x:v>
      </x:c>
      <x:c r="C43" s="19" t="str">
        <x:v>5.2 Technical Verification</x:v>
      </x:c>
      <x:c r="D43" s="19" t="str">
        <x:v>Security Assessment</x:v>
      </x:c>
      <x:c r="E43" s="19" t="str">
        <x:v>Testing &amp; Validation</x:v>
      </x:c>
      <x:c r="F43" s="19" t="str">
        <x:v>Execute vulnerability/security assessment and verify security controls before release.</x:v>
      </x:c>
      <x:c r="G43" s="19" t="str">
        <x:v>Security assessment report</x:v>
      </x:c>
      <x:c r="H43" s="19" t="str">
        <x:v>No open critical vulnerabilities and high findings have approved disposition.</x:v>
      </x:c>
      <x:c r="I43" s="19" t="str">
        <x:v>Validation &amp; Deployment Lead</x:v>
      </x:c>
      <x:c r="J43" s="19" t="str">
        <x:v>Information Security</x:v>
      </x:c>
      <x:c r="K43" s="19" t="str">
        <x:v>Stable integrated build</x:v>
      </x:c>
      <x:c r="L43" s="19" t="str">
        <x:v>SEC-001–SEC-003</x:v>
      </x:c>
      <x:c r="M43" s="19" t="str">
        <x:v>External specialist support may be used.</x:v>
      </x:c>
      <x:c r="N43" s="19" t="str">
        <x:v>Validation &amp; Security Services</x:v>
      </x:c>
      <x:c r="O43" s="19" t="str">
        <x:v>Security Approval</x:v>
      </x:c>
      <x:c r="P43" s="19" t="str">
        <x:v>Baselined</x:v>
      </x:c>
    </x:row>
    <x:row r="44">
      <x:c r="A44" s="19" t="str">
        <x:v>5.3.1</x:v>
      </x:c>
      <x:c r="B44" s="19" t="str">
        <x:v>5.0 Testing &amp; Validation</x:v>
      </x:c>
      <x:c r="C44" s="19" t="str">
        <x:v>5.3 Validation &amp; Business Acceptance</x:v>
      </x:c>
      <x:c r="D44" s="19" t="str">
        <x:v>Regulated Validation Execution</x:v>
      </x:c>
      <x:c r="E44" s="19" t="str">
        <x:v>Testing &amp; Validation</x:v>
      </x:c>
      <x:c r="F44" s="19" t="str">
        <x:v>Execute required validation protocols and maintain controlled evidence for designated regulated requirements.</x:v>
      </x:c>
      <x:c r="G44" s="19" t="str">
        <x:v>Validation evidence package</x:v>
      </x:c>
      <x:c r="H44" s="19" t="str">
        <x:v>Required validation tests pass and deviations are resolved or formally approved.</x:v>
      </x:c>
      <x:c r="I44" s="19" t="str">
        <x:v>Validation &amp; Deployment Lead</x:v>
      </x:c>
      <x:c r="J44" s="19" t="str">
        <x:v>Quality / Compliance</x:v>
      </x:c>
      <x:c r="K44" s="19" t="str">
        <x:v>5.1.1,5.1.2,5.2 technical verification</x:v>
      </x:c>
      <x:c r="L44" s="19" t="str">
        <x:v>REG-001,REG-002</x:v>
      </x:c>
      <x:c r="M44" s="19" t="str">
        <x:v>Validation scope is based on approved risk and requirements.</x:v>
      </x:c>
      <x:c r="N44" s="19" t="str">
        <x:v>Validation &amp; Security Services</x:v>
      </x:c>
      <x:c r="O44" s="19" t="str">
        <x:v>Validation Complete</x:v>
      </x:c>
      <x:c r="P44" s="19" t="str">
        <x:v>Baselined</x:v>
      </x:c>
    </x:row>
    <x:row r="45">
      <x:c r="A45" s="19" t="str">
        <x:v>5.3.2</x:v>
      </x:c>
      <x:c r="B45" s="19" t="str">
        <x:v>5.0 Testing &amp; Validation</x:v>
      </x:c>
      <x:c r="C45" s="19" t="str">
        <x:v>5.3 Validation &amp; Business Acceptance</x:v>
      </x:c>
      <x:c r="D45" s="19" t="str">
        <x:v>User Acceptance Testing</x:v>
      </x:c>
      <x:c r="E45" s="19" t="str">
        <x:v>Testing &amp; Validation</x:v>
      </x:c>
      <x:c r="F45" s="19" t="str">
        <x:v>Coordinate representative business UAT across in-scope regions and workflows.</x:v>
      </x:c>
      <x:c r="G45" s="19" t="str">
        <x:v>UAT results; Business acceptance</x:v>
      </x:c>
      <x:c r="H45" s="19" t="str">
        <x:v>Critical business scenarios pass and Business Owner formally accepts UAT outcome.</x:v>
      </x:c>
      <x:c r="I45" s="19" t="str">
        <x:v>Validation &amp; Deployment Lead</x:v>
      </x:c>
      <x:c r="J45" s="19" t="str">
        <x:v>Business Owner</x:v>
      </x:c>
      <x:c r="K45" s="19" t="str">
        <x:v>5.2.1,5.2.2,4.2.3</x:v>
      </x:c>
      <x:c r="L45" s="19" t="str">
        <x:v>BUS-001–BUS-003,FUN-001–FUN-005</x:v>
      </x:c>
      <x:c r="M45" s="19" t="str">
        <x:v>Business testers are available during planned window.</x:v>
      </x:c>
      <x:c r="N45" s="19" t="str">
        <x:v>Internal / Contract Resources</x:v>
      </x:c>
      <x:c r="O45" s="19" t="str">
        <x:v>UAT Complete</x:v>
      </x:c>
      <x:c r="P45" s="19" t="str">
        <x:v>Baselined</x:v>
      </x:c>
    </x:row>
    <x:row r="46">
      <x:c r="A46" s="19" t="str">
        <x:v>5.3.3</x:v>
      </x:c>
      <x:c r="B46" s="19" t="str">
        <x:v>5.0 Testing &amp; Validation</x:v>
      </x:c>
      <x:c r="C46" s="19" t="str">
        <x:v>5.3 Validation &amp; Business Acceptance</x:v>
      </x:c>
      <x:c r="D46" s="19" t="str">
        <x:v>Defect Resolution &amp; Retesting</x:v>
      </x:c>
      <x:c r="E46" s="19" t="str">
        <x:v>Testing &amp; Validation</x:v>
      </x:c>
      <x:c r="F46" s="19" t="str">
        <x:v>Triage, prioritize, remediate, retest, and disposition defects from technical testing, validation, and UAT.</x:v>
      </x:c>
      <x:c r="G46" s="19" t="str">
        <x:v>Defect log; Retest evidence</x:v>
      </x:c>
      <x:c r="H46" s="19" t="str">
        <x:v>No Severity-1 defects remain at go-live; remaining defects have approved disposition.</x:v>
      </x:c>
      <x:c r="I46" s="19" t="str">
        <x:v>Validation &amp; Deployment Lead</x:v>
      </x:c>
      <x:c r="J46" s="19" t="str">
        <x:v>Technology Lead</x:v>
      </x:c>
      <x:c r="K46" s="19" t="str">
        <x:v>5.2 and 5.3 test execution</x:v>
      </x:c>
      <x:c r="L46" s="19" t="str">
        <x:v>All affected requirements</x:v>
      </x:c>
      <x:c r="M46" s="19" t="str">
        <x:v>Development capacity is reserved for defect remediation.</x:v>
      </x:c>
      <x:c r="N46" s="19" t="str">
        <x:v>Internal / Contract Resources</x:v>
      </x:c>
      <x:c r="O46" s="19" t="str">
        <x:v>Validation &amp; UAT Complete</x:v>
      </x:c>
      <x:c r="P46" s="19" t="str">
        <x:v>Baselined</x:v>
      </x:c>
    </x:row>
    <x:row r="47">
      <x:c r="A47" s="19" t="str">
        <x:v>5.3.4</x:v>
      </x:c>
      <x:c r="B47" s="19" t="str">
        <x:v>5.0 Testing &amp; Validation</x:v>
      </x:c>
      <x:c r="C47" s="19" t="str">
        <x:v>5.3 Validation &amp; Business Acceptance</x:v>
      </x:c>
      <x:c r="D47" s="19" t="str">
        <x:v>Traceability &amp; Validation Approval</x:v>
      </x:c>
      <x:c r="E47" s="19" t="str">
        <x:v>Testing &amp; Validation</x:v>
      </x:c>
      <x:c r="F47" s="19" t="str">
        <x:v>Reconcile RTM, design references, test evidence, deviations, and approvals to demonstrate release traceability.</x:v>
      </x:c>
      <x:c r="G47" s="19" t="str">
        <x:v>Final RTM; Validation approval</x:v>
      </x:c>
      <x:c r="H47" s="19" t="str">
        <x:v>Designated regulated requirements have complete traceability and Quality approval.</x:v>
      </x:c>
      <x:c r="I47" s="19" t="str">
        <x:v>Validation &amp; Deployment Lead</x:v>
      </x:c>
      <x:c r="J47" s="19" t="str">
        <x:v>Quality / Compliance</x:v>
      </x:c>
      <x:c r="K47" s="19" t="str">
        <x:v>5.3.1–5.3.3</x:v>
      </x:c>
      <x:c r="L47" s="19" t="str">
        <x:v>REG-001,REG-002 and all designated regulated requirements</x:v>
      </x:c>
      <x:c r="M47" s="19" t="str">
        <x:v>RTM is current before production-readiness review.</x:v>
      </x:c>
      <x:c r="N47" s="19" t="str">
        <x:v>Validation &amp; Security Services</x:v>
      </x:c>
      <x:c r="O47" s="19" t="str">
        <x:v>Validation &amp; UAT Complete</x:v>
      </x:c>
      <x:c r="P47" s="19" t="str">
        <x:v>Baselined</x:v>
      </x:c>
    </x:row>
    <x:row r="48">
      <x:c r="A48" s="19" t="str">
        <x:v>6.1.1</x:v>
      </x:c>
      <x:c r="B48" s="19" t="str">
        <x:v>6.0 Business Readiness &amp; Training</x:v>
      </x:c>
      <x:c r="C48" s="19" t="str">
        <x:v>6.1 Business Readiness</x:v>
      </x:c>
      <x:c r="D48" s="19" t="str">
        <x:v>Business Impact &amp; Readiness Assessment</x:v>
      </x:c>
      <x:c r="E48" s="19" t="str">
        <x:v>Business Readiness &amp; Training</x:v>
      </x:c>
      <x:c r="F48" s="19" t="str">
        <x:v>Assess impacted roles, process changes, readiness risks, support needs, and regional deployment preparedness.</x:v>
      </x:c>
      <x:c r="G48" s="19" t="str">
        <x:v>Business Readiness Assessment</x:v>
      </x:c>
      <x:c r="H48" s="19" t="str">
        <x:v>Material readiness gaps have owners and action plans before go-live decision.</x:v>
      </x:c>
      <x:c r="I48" s="19" t="str">
        <x:v>Change &amp; Training Lead</x:v>
      </x:c>
      <x:c r="J48" s="19" t="str">
        <x:v>Business Owner</x:v>
      </x:c>
      <x:c r="K48" s="19" t="str">
        <x:v>Approved solution and deployment scope</x:v>
      </x:c>
      <x:c r="L48" s="19" t="str">
        <x:v>BUS-003,OPS-002</x:v>
      </x:c>
      <x:c r="M48" s="19" t="str">
        <x:v>Regional representatives participate in readiness review.</x:v>
      </x:c>
      <x:c r="N48" s="19" t="str">
        <x:v>Training &amp; Change Readiness</x:v>
      </x:c>
      <x:c r="O48" s="19" t="str">
        <x:v>Production Readiness</x:v>
      </x:c>
      <x:c r="P48" s="19" t="str">
        <x:v>Baselined</x:v>
      </x:c>
    </x:row>
    <x:row r="49">
      <x:c r="A49" s="19" t="str">
        <x:v>6.1.2</x:v>
      </x:c>
      <x:c r="B49" s="19" t="str">
        <x:v>6.0 Business Readiness &amp; Training</x:v>
      </x:c>
      <x:c r="C49" s="19" t="str">
        <x:v>6.1 Business Readiness</x:v>
      </x:c>
      <x:c r="D49" s="19" t="str">
        <x:v>Stakeholder Communications &amp; Adoption Readiness</x:v>
      </x:c>
      <x:c r="E49" s="19" t="str">
        <x:v>Business Readiness &amp; Training</x:v>
      </x:c>
      <x:c r="F49" s="19" t="str">
        <x:v>Prepare and deliver targeted communications for impacted user and leadership groups.</x:v>
      </x:c>
      <x:c r="G49" s="19" t="str">
        <x:v>Communication pack; Adoption readiness actions</x:v>
      </x:c>
      <x:c r="H49" s="19" t="str">
        <x:v>Planned communications are delivered and critical stakeholder concerns are resolved/escalated.</x:v>
      </x:c>
      <x:c r="I49" s="19" t="str">
        <x:v>Change &amp; Training Lead</x:v>
      </x:c>
      <x:c r="J49" s="19" t="str">
        <x:v>Business Owner</x:v>
      </x:c>
      <x:c r="K49" s="19" t="str">
        <x:v>Stakeholder Register and readiness assessment</x:v>
      </x:c>
      <x:c r="L49" s="19" t="str">
        <x:v>BUS-003</x:v>
      </x:c>
      <x:c r="M49" s="19" t="str">
        <x:v>Communication channels are available across regions.</x:v>
      </x:c>
      <x:c r="N49" s="19" t="str">
        <x:v>Training &amp; Change Readiness</x:v>
      </x:c>
      <x:c r="O49" s="19" t="str">
        <x:v>Production Readiness</x:v>
      </x:c>
      <x:c r="P49" s="19" t="str">
        <x:v>Baselined</x:v>
      </x:c>
    </x:row>
    <x:row r="50">
      <x:c r="A50" s="19" t="str">
        <x:v>6.2.1</x:v>
      </x:c>
      <x:c r="B50" s="19" t="str">
        <x:v>6.0 Business Readiness &amp; Training</x:v>
      </x:c>
      <x:c r="C50" s="19" t="str">
        <x:v>6.2 Training</x:v>
      </x:c>
      <x:c r="D50" s="19" t="str">
        <x:v>Training Materials &amp; User Guidance</x:v>
      </x:c>
      <x:c r="E50" s="19" t="str">
        <x:v>Business Readiness &amp; Training</x:v>
      </x:c>
      <x:c r="F50" s="19" t="str">
        <x:v>Develop role-based training materials, job aids, and user guidance aligned to the approved solution.</x:v>
      </x:c>
      <x:c r="G50" s="19" t="str">
        <x:v>Training materials; User guides</x:v>
      </x:c>
      <x:c r="H50" s="19" t="str">
        <x:v>Materials cover identified user roles and are approved before final UAT completion.</x:v>
      </x:c>
      <x:c r="I50" s="19" t="str">
        <x:v>Change &amp; Training Lead</x:v>
      </x:c>
      <x:c r="J50" s="19" t="str">
        <x:v>Business Owner</x:v>
      </x:c>
      <x:c r="K50" s="19" t="str">
        <x:v>Stable solution and workflows</x:v>
      </x:c>
      <x:c r="L50" s="19" t="str">
        <x:v>TRN-001</x:v>
      </x:c>
      <x:c r="M50" s="19" t="str">
        <x:v>Screens/processes are stable enough for final materials.</x:v>
      </x:c>
      <x:c r="N50" s="19" t="str">
        <x:v>Training &amp; Change Readiness</x:v>
      </x:c>
      <x:c r="O50" s="19" t="str">
        <x:v>UAT Complete</x:v>
      </x:c>
      <x:c r="P50" s="19" t="str">
        <x:v>Baselined</x:v>
      </x:c>
    </x:row>
    <x:row r="51">
      <x:c r="A51" s="19" t="str">
        <x:v>6.2.2</x:v>
      </x:c>
      <x:c r="B51" s="19" t="str">
        <x:v>6.0 Business Readiness &amp; Training</x:v>
      </x:c>
      <x:c r="C51" s="19" t="str">
        <x:v>6.2 Training</x:v>
      </x:c>
      <x:c r="D51" s="19" t="str">
        <x:v>User Training Delivery &amp; Completion Tracking</x:v>
      </x:c>
      <x:c r="E51" s="19" t="str">
        <x:v>Business Readiness &amp; Training</x:v>
      </x:c>
      <x:c r="F51" s="19" t="str">
        <x:v>Deliver training to priority users and monitor completion/readiness exceptions.</x:v>
      </x:c>
      <x:c r="G51" s="19" t="str">
        <x:v>Training sessions; Completion tracker</x:v>
      </x:c>
      <x:c r="H51" s="19" t="str">
        <x:v>At least 95% of priority users complete training or exceptions are approved.</x:v>
      </x:c>
      <x:c r="I51" s="19" t="str">
        <x:v>Change &amp; Training Lead</x:v>
      </x:c>
      <x:c r="J51" s="19" t="str">
        <x:v>Business Owner</x:v>
      </x:c>
      <x:c r="K51" s="19" t="str">
        <x:v>6.2.1</x:v>
      </x:c>
      <x:c r="L51" s="19" t="str">
        <x:v>TRN-002</x:v>
      </x:c>
      <x:c r="M51" s="19" t="str">
        <x:v>Priority user population is confirmed before delivery.</x:v>
      </x:c>
      <x:c r="N51" s="19" t="str">
        <x:v>Training &amp; Change Readiness</x:v>
      </x:c>
      <x:c r="O51" s="19" t="str">
        <x:v>Production Readiness</x:v>
      </x:c>
      <x:c r="P51" s="19" t="str">
        <x:v>Baselined</x:v>
      </x:c>
    </x:row>
    <x:row r="52">
      <x:c r="A52" s="19" t="str">
        <x:v>7.1.1</x:v>
      </x:c>
      <x:c r="B52" s="19" t="str">
        <x:v>7.0 Deployment &amp; Hypercare</x:v>
      </x:c>
      <x:c r="C52" s="19" t="str">
        <x:v>7.1 Release Readiness</x:v>
      </x:c>
      <x:c r="D52" s="19" t="str">
        <x:v>Production Readiness Assessment</x:v>
      </x:c>
      <x:c r="E52" s="19" t="str">
        <x:v>Deployment &amp; Hypercare</x:v>
      </x:c>
      <x:c r="F52" s="19" t="str">
        <x:v>Assess functional, technical, security, quality, operational, training, migration, and support readiness for production.</x:v>
      </x:c>
      <x:c r="G52" s="19" t="str">
        <x:v>Production Readiness Checklist</x:v>
      </x:c>
      <x:c r="H52" s="19" t="str">
        <x:v>Mandatory release criteria are met or approved waivers exist.</x:v>
      </x:c>
      <x:c r="I52" s="19" t="str">
        <x:v>Validation &amp; Deployment Lead</x:v>
      </x:c>
      <x:c r="J52" s="19" t="str">
        <x:v>Steering Committee</x:v>
      </x:c>
      <x:c r="K52" s="19" t="str">
        <x:v>5.3.4,6.1,6.2,4.2.3</x:v>
      </x:c>
      <x:c r="L52" s="19" t="str">
        <x:v>OPS-001–OPS-003,TRN-002</x:v>
      </x:c>
      <x:c r="M52" s="19" t="str">
        <x:v>Readiness assessment consolidates all workstreams.</x:v>
      </x:c>
      <x:c r="N52" s="19" t="str">
        <x:v>Internal / Contract Resources</x:v>
      </x:c>
      <x:c r="O52" s="19" t="str">
        <x:v>Production Readiness Approval</x:v>
      </x:c>
      <x:c r="P52" s="19" t="str">
        <x:v>Baselined</x:v>
      </x:c>
    </x:row>
    <x:row r="53">
      <x:c r="A53" s="19" t="str">
        <x:v>7.1.2</x:v>
      </x:c>
      <x:c r="B53" s="19" t="str">
        <x:v>7.0 Deployment &amp; Hypercare</x:v>
      </x:c>
      <x:c r="C53" s="19" t="str">
        <x:v>7.1 Release Readiness</x:v>
      </x:c>
      <x:c r="D53" s="19" t="str">
        <x:v>Cutover &amp; Rollback Plan</x:v>
      </x:c>
      <x:c r="E53" s="19" t="str">
        <x:v>Deployment &amp; Hypercare</x:v>
      </x:c>
      <x:c r="F53" s="19" t="str">
        <x:v>Define sequenced cutover steps, owners, timing, validation checkpoints, communications, and rollback approach.</x:v>
      </x:c>
      <x:c r="G53" s="19" t="str">
        <x:v>Approved Cutover &amp; Rollback Plan</x:v>
      </x:c>
      <x:c r="H53" s="19" t="str">
        <x:v>All critical cutover tasks have owners and rollback criteria/steps are reviewed.</x:v>
      </x:c>
      <x:c r="I53" s="19" t="str">
        <x:v>Validation &amp; Deployment Lead</x:v>
      </x:c>
      <x:c r="J53" s="19" t="str">
        <x:v>Technology Lead</x:v>
      </x:c>
      <x:c r="K53" s="19" t="str">
        <x:v>4.2.3,5.3.4</x:v>
      </x:c>
      <x:c r="L53" s="19" t="str">
        <x:v>OPS-003</x:v>
      </x:c>
      <x:c r="M53" s="19" t="str">
        <x:v>Production window is confirmed.</x:v>
      </x:c>
      <x:c r="N53" s="19" t="str">
        <x:v>Internal / Contract Resources</x:v>
      </x:c>
      <x:c r="O53" s="19" t="str">
        <x:v>Production Readiness Approval</x:v>
      </x:c>
      <x:c r="P53" s="19" t="str">
        <x:v>Baselined</x:v>
      </x:c>
    </x:row>
    <x:row r="54">
      <x:c r="A54" s="19" t="str">
        <x:v>7.1.3</x:v>
      </x:c>
      <x:c r="B54" s="19" t="str">
        <x:v>7.0 Deployment &amp; Hypercare</x:v>
      </x:c>
      <x:c r="C54" s="19" t="str">
        <x:v>7.1 Release Readiness</x:v>
      </x:c>
      <x:c r="D54" s="19" t="str">
        <x:v>Go / No-Go Approval</x:v>
      </x:c>
      <x:c r="E54" s="19" t="str">
        <x:v>Deployment &amp; Hypercare</x:v>
      </x:c>
      <x:c r="F54" s="19" t="str">
        <x:v>Present readiness evidence and obtain formal authorization to execute production cutover.</x:v>
      </x:c>
      <x:c r="G54" s="19" t="str">
        <x:v>Go / No-Go decision record</x:v>
      </x:c>
      <x:c r="H54" s="19" t="str">
        <x:v>Steering Committee records decision after review of readiness, residual risks, and rollback capability.</x:v>
      </x:c>
      <x:c r="I54" s="19" t="str">
        <x:v>Project Manager</x:v>
      </x:c>
      <x:c r="J54" s="19" t="str">
        <x:v>Steering Committee</x:v>
      </x:c>
      <x:c r="K54" s="19" t="str">
        <x:v>7.1.1,7.1.2</x:v>
      </x:c>
      <x:c r="L54" s="19" t="str">
        <x:v>All release-related requirements</x:v>
      </x:c>
      <x:c r="M54" s="19" t="str">
        <x:v>Decision authority is available during release window.</x:v>
      </x:c>
      <x:c r="N54" s="19" t="str">
        <x:v>Project Management</x:v>
      </x:c>
      <x:c r="O54" s="19" t="str">
        <x:v>Production Go-Live</x:v>
      </x:c>
      <x:c r="P54" s="19" t="str">
        <x:v>Baselined</x:v>
      </x:c>
    </x:row>
    <x:row r="55">
      <x:c r="A55" s="19" t="str">
        <x:v>7.2.1</x:v>
      </x:c>
      <x:c r="B55" s="19" t="str">
        <x:v>7.0 Deployment &amp; Hypercare</x:v>
      </x:c>
      <x:c r="C55" s="19" t="str">
        <x:v>7.2 Production Deployment</x:v>
      </x:c>
      <x:c r="D55" s="19" t="str">
        <x:v>Application &amp; Integration Deployment</x:v>
      </x:c>
      <x:c r="E55" s="19" t="str">
        <x:v>Deployment &amp; Hypercare</x:v>
      </x:c>
      <x:c r="F55" s="19" t="str">
        <x:v>Deploy approved application build, integrations, configuration, and infrastructure changes to production.</x:v>
      </x:c>
      <x:c r="G55" s="19" t="str">
        <x:v>Production deployment record</x:v>
      </x:c>
      <x:c r="H55" s="19" t="str">
        <x:v>Deployment completes per approved cutover plan without unresolved critical deployment failure.</x:v>
      </x:c>
      <x:c r="I55" s="19" t="str">
        <x:v>Validation &amp; Deployment Lead</x:v>
      </x:c>
      <x:c r="J55" s="19" t="str">
        <x:v>Technology Lead</x:v>
      </x:c>
      <x:c r="K55" s="19" t="str">
        <x:v>7.1.3</x:v>
      </x:c>
      <x:c r="L55" s="19" t="str">
        <x:v>All applicable technical requirements</x:v>
      </x:c>
      <x:c r="M55" s="19" t="str">
        <x:v>Required deployment resources are on-call.</x:v>
      </x:c>
      <x:c r="N55" s="19" t="str">
        <x:v>Cloud &amp; Infrastructure</x:v>
      </x:c>
      <x:c r="O55" s="19" t="str">
        <x:v>Production Go-Live</x:v>
      </x:c>
      <x:c r="P55" s="19" t="str">
        <x:v>Baselined</x:v>
      </x:c>
    </x:row>
    <x:row r="56">
      <x:c r="A56" s="19" t="str">
        <x:v>7.2.2</x:v>
      </x:c>
      <x:c r="B56" s="19" t="str">
        <x:v>7.0 Deployment &amp; Hypercare</x:v>
      </x:c>
      <x:c r="C56" s="19" t="str">
        <x:v>7.2 Production Deployment</x:v>
      </x:c>
      <x:c r="D56" s="19" t="str">
        <x:v>Production Verification</x:v>
      </x:c>
      <x:c r="E56" s="19" t="str">
        <x:v>Deployment &amp; Hypercare</x:v>
      </x:c>
      <x:c r="F56" s="19" t="str">
        <x:v>Execute post-deployment smoke checks, interface checks, monitoring verification, and business confirmation.</x:v>
      </x:c>
      <x:c r="G56" s="19" t="str">
        <x:v>Production verification results</x:v>
      </x:c>
      <x:c r="H56" s="19" t="str">
        <x:v>Critical workflows, integrations, monitoring, and user access are confirmed operational.</x:v>
      </x:c>
      <x:c r="I56" s="19" t="str">
        <x:v>Validation &amp; Deployment Lead</x:v>
      </x:c>
      <x:c r="J56" s="19" t="str">
        <x:v>Business Owner</x:v>
      </x:c>
      <x:c r="K56" s="19" t="str">
        <x:v>7.2.1,4.2.4</x:v>
      </x:c>
      <x:c r="L56" s="19" t="str">
        <x:v>BUS-001,INT-001–INT-004,OPS-001</x:v>
      </x:c>
      <x:c r="M56" s="19" t="str">
        <x:v>Production data migration has completed/reconciled.</x:v>
      </x:c>
      <x:c r="N56" s="19" t="str">
        <x:v>Cloud &amp; Infrastructure</x:v>
      </x:c>
      <x:c r="O56" s="19" t="str">
        <x:v>Production Go-Live</x:v>
      </x:c>
      <x:c r="P56" s="19" t="str">
        <x:v>Baselined</x:v>
      </x:c>
    </x:row>
    <x:row r="57">
      <x:c r="A57" s="19" t="str">
        <x:v>7.3.1</x:v>
      </x:c>
      <x:c r="B57" s="19" t="str">
        <x:v>7.0 Deployment &amp; Hypercare</x:v>
      </x:c>
      <x:c r="C57" s="19" t="str">
        <x:v>7.3 Hypercare &amp; Transition</x:v>
      </x:c>
      <x:c r="D57" s="19" t="str">
        <x:v>Hypercare Incident Management</x:v>
      </x:c>
      <x:c r="E57" s="19" t="str">
        <x:v>Deployment &amp; Hypercare</x:v>
      </x:c>
      <x:c r="F57" s="19" t="str">
        <x:v>Operate structured four-week hypercare with triage, prioritization, ownership, and rapid issue resolution.</x:v>
      </x:c>
      <x:c r="G57" s="19" t="str">
        <x:v>Hypercare tracker; Daily/weekly stabilization reports</x:v>
      </x:c>
      <x:c r="H57" s="19" t="str">
        <x:v>Production issues are tracked to closure/BAU handover and severity trends remain within exit thresholds.</x:v>
      </x:c>
      <x:c r="I57" s="19" t="str">
        <x:v>Validation &amp; Deployment Lead</x:v>
      </x:c>
      <x:c r="J57" s="19" t="str">
        <x:v>Operations Lead</x:v>
      </x:c>
      <x:c r="K57" s="19" t="str">
        <x:v>7.2.2</x:v>
      </x:c>
      <x:c r="L57" s="19" t="str">
        <x:v>OPS-001,OPS-002</x:v>
      </x:c>
      <x:c r="M57" s="19" t="str">
        <x:v>Cross-functional support team remains available during hypercare.</x:v>
      </x:c>
      <x:c r="N57" s="19" t="str">
        <x:v>Internal / Contract Resources</x:v>
      </x:c>
      <x:c r="O57" s="19" t="str">
        <x:v>Hypercare</x:v>
      </x:c>
      <x:c r="P57" s="19" t="str">
        <x:v>Baselined</x:v>
      </x:c>
    </x:row>
    <x:row r="58">
      <x:c r="A58" s="19" t="str">
        <x:v>7.3.2</x:v>
      </x:c>
      <x:c r="B58" s="19" t="str">
        <x:v>7.0 Deployment &amp; Hypercare</x:v>
      </x:c>
      <x:c r="C58" s="19" t="str">
        <x:v>7.3 Hypercare &amp; Transition</x:v>
      </x:c>
      <x:c r="D58" s="19" t="str">
        <x:v>Stabilization &amp; Exit Assessment</x:v>
      </x:c>
      <x:c r="E58" s="19" t="str">
        <x:v>Deployment &amp; Hypercare</x:v>
      </x:c>
      <x:c r="F58" s="19" t="str">
        <x:v>Assess defect/incident trends, performance, operational readiness, and open actions against hypercare exit criteria.</x:v>
      </x:c>
      <x:c r="G58" s="19" t="str">
        <x:v>Hypercare Exit Assessment</x:v>
      </x:c>
      <x:c r="H58" s="19" t="str">
        <x:v>Exit criteria are met and remaining items have BAU ownership and approved plans.</x:v>
      </x:c>
      <x:c r="I58" s="19" t="str">
        <x:v>Validation &amp; Deployment Lead</x:v>
      </x:c>
      <x:c r="J58" s="19" t="str">
        <x:v>Business Owner</x:v>
      </x:c>
      <x:c r="K58" s="19" t="str">
        <x:v>7.3.1</x:v>
      </x:c>
      <x:c r="L58" s="19" t="str">
        <x:v>NFR-003,OPS-002</x:v>
      </x:c>
      <x:c r="M58" s="19" t="str">
        <x:v>Operational metrics are available during hypercare.</x:v>
      </x:c>
      <x:c r="N58" s="19" t="str">
        <x:v>Internal / Contract Resources</x:v>
      </x:c>
      <x:c r="O58" s="19" t="str">
        <x:v>Hypercare Complete</x:v>
      </x:c>
      <x:c r="P58" s="19" t="str">
        <x:v>Baselined</x:v>
      </x:c>
    </x:row>
    <x:row r="59">
      <x:c r="A59" s="19" t="str">
        <x:v>7.3.3</x:v>
      </x:c>
      <x:c r="B59" s="19" t="str">
        <x:v>7.0 Deployment &amp; Hypercare</x:v>
      </x:c>
      <x:c r="C59" s="19" t="str">
        <x:v>7.3 Hypercare &amp; Transition</x:v>
      </x:c>
      <x:c r="D59" s="19" t="str">
        <x:v>Operational Handover</x:v>
      </x:c>
      <x:c r="E59" s="19" t="str">
        <x:v>Deployment &amp; Hypercare</x:v>
      </x:c>
      <x:c r="F59" s="19" t="str">
        <x:v>Transfer support documentation, ownership, known issues, monitoring, recovery procedures, and support obligations to BAU.</x:v>
      </x:c>
      <x:c r="G59" s="19" t="str">
        <x:v>Operational Handover Pack; Acceptance</x:v>
      </x:c>
      <x:c r="H59" s="19" t="str">
        <x:v>Operations formally accepts support ownership and open items.</x:v>
      </x:c>
      <x:c r="I59" s="19" t="str">
        <x:v>Validation &amp; Deployment Lead</x:v>
      </x:c>
      <x:c r="J59" s="19" t="str">
        <x:v>Operations Lead</x:v>
      </x:c>
      <x:c r="K59" s="19" t="str">
        <x:v>7.3.2</x:v>
      </x:c>
      <x:c r="L59" s="19" t="str">
        <x:v>OPS-001–OPS-003</x:v>
      </x:c>
      <x:c r="M59" s="19" t="str">
        <x:v>Support team has completed knowledge transfer.</x:v>
      </x:c>
      <x:c r="N59" s="19" t="str">
        <x:v>Internal / Contract Resources</x:v>
      </x:c>
      <x:c r="O59" s="19" t="str">
        <x:v>Hypercare Complete</x:v>
      </x:c>
      <x:c r="P59" s="19" t="str">
        <x:v>Baselined</x:v>
      </x:c>
    </x:row>
    <x:row r="60">
      <x:c r="A60" s="19" t="str">
        <x:v>8.1.1</x:v>
      </x:c>
      <x:c r="B60" s="19" t="str">
        <x:v>8.0 Project Closure</x:v>
      </x:c>
      <x:c r="C60" s="19" t="str">
        <x:v>8.1 Formal Closure</x:v>
      </x:c>
      <x:c r="D60" s="19" t="str">
        <x:v>Final Deliverable Acceptance</x:v>
      </x:c>
      <x:c r="E60" s="19" t="str">
        <x:v>Project Closure</x:v>
      </x:c>
      <x:c r="F60" s="19" t="str">
        <x:v>Confirm completion and formal acceptance of all approved project deliverables and approved residual items.</x:v>
      </x:c>
      <x:c r="G60" s="19" t="str">
        <x:v>Final Acceptance Record</x:v>
      </x:c>
      <x:c r="H60" s="19" t="str">
        <x:v>Business and technical acceptance is documented for all project deliverables.</x:v>
      </x:c>
      <x:c r="I60" s="19" t="str">
        <x:v>Project Manager</x:v>
      </x:c>
      <x:c r="J60" s="19" t="str">
        <x:v>Executive Sponsor</x:v>
      </x:c>
      <x:c r="K60" s="19" t="str">
        <x:v>7.3.3 and all deliverables</x:v>
      </x:c>
      <x:c r="L60" s="19" t="str">
        <x:v>All applicable requirements</x:v>
      </x:c>
      <x:c r="M60" s="19" t="str">
        <x:v>Residual items have assigned BAU owners.</x:v>
      </x:c>
      <x:c r="N60" s="19" t="str">
        <x:v>Project Management</x:v>
      </x:c>
      <x:c r="O60" s="19" t="str">
        <x:v>Project Closure</x:v>
      </x:c>
      <x:c r="P60" s="19" t="str">
        <x:v>Baselined</x:v>
      </x:c>
    </x:row>
    <x:row r="61">
      <x:c r="A61" s="19" t="str">
        <x:v>8.1.2</x:v>
      </x:c>
      <x:c r="B61" s="19" t="str">
        <x:v>8.0 Project Closure</x:v>
      </x:c>
      <x:c r="C61" s="19" t="str">
        <x:v>8.1 Formal Closure</x:v>
      </x:c>
      <x:c r="D61" s="19" t="str">
        <x:v>Financial &amp; Procurement Closeout</x:v>
      </x:c>
      <x:c r="E61" s="19" t="str">
        <x:v>Project Closure</x:v>
      </x:c>
      <x:c r="F61" s="19" t="str">
        <x:v>Reconcile final project costs, commitments, purchase orders, vendor deliverables, accruals, and unused reserves.</x:v>
      </x:c>
      <x:c r="G61" s="19" t="str">
        <x:v>Financial closeout; Procurement closure</x:v>
      </x:c>
      <x:c r="H61" s="19" t="str">
        <x:v>Costs reconcile to final approved budget and commercial obligations are closed or transferred.</x:v>
      </x:c>
      <x:c r="I61" s="19" t="str">
        <x:v>Project Manager</x:v>
      </x:c>
      <x:c r="J61" s="19" t="str">
        <x:v>Executive Sponsor</x:v>
      </x:c>
      <x:c r="K61" s="19" t="str">
        <x:v>Vendor completion and final actuals</x:v>
      </x:c>
      <x:c r="L61" s="19" t="str">
        <x:v>N/A</x:v>
      </x:c>
      <x:c r="M61" s="19" t="str">
        <x:v>Finance/procurement data is available at close.</x:v>
      </x:c>
      <x:c r="N61" s="19" t="str">
        <x:v>Project Management</x:v>
      </x:c>
      <x:c r="O61" s="19" t="str">
        <x:v>Project Closure</x:v>
      </x:c>
      <x:c r="P61" s="19" t="str">
        <x:v>Baselined</x:v>
      </x:c>
    </x:row>
    <x:row r="62">
      <x:c r="A62" s="19" t="str">
        <x:v>8.1.3</x:v>
      </x:c>
      <x:c r="B62" s="19" t="str">
        <x:v>8.0 Project Closure</x:v>
      </x:c>
      <x:c r="C62" s="19" t="str">
        <x:v>8.1 Formal Closure</x:v>
      </x:c>
      <x:c r="D62" s="19" t="str">
        <x:v>Lessons Learned</x:v>
      </x:c>
      <x:c r="E62" s="19" t="str">
        <x:v>Project Closure</x:v>
      </x:c>
      <x:c r="F62" s="19" t="str">
        <x:v>Capture delivery, governance, technical, stakeholder, commercial, and operational lessons for reuse.</x:v>
      </x:c>
      <x:c r="G62" s="19" t="str">
        <x:v>Lessons Learned Register</x:v>
      </x:c>
      <x:c r="H62" s="19" t="str">
        <x:v>Lessons are reviewed with key stakeholders and stored for future reference.</x:v>
      </x:c>
      <x:c r="I62" s="19" t="str">
        <x:v>Project Manager</x:v>
      </x:c>
      <x:c r="J62" s="19" t="str">
        <x:v>Executive Sponsor</x:v>
      </x:c>
      <x:c r="K62" s="19" t="str">
        <x:v>Project completion</x:v>
      </x:c>
      <x:c r="L62" s="19" t="str">
        <x:v>N/A</x:v>
      </x:c>
      <x:c r="M62" s="19" t="str">
        <x:v>Key team members are available for closure workshop.</x:v>
      </x:c>
      <x:c r="N62" s="19" t="str">
        <x:v>Project Management</x:v>
      </x:c>
      <x:c r="O62" s="19" t="str">
        <x:v>Project Closure</x:v>
      </x:c>
      <x:c r="P62" s="19" t="str">
        <x:v>Baselined</x:v>
      </x:c>
    </x:row>
    <x:row r="63">
      <x:c r="A63" s="19" t="str">
        <x:v>8.1.4</x:v>
      </x:c>
      <x:c r="B63" s="19" t="str">
        <x:v>8.0 Project Closure</x:v>
      </x:c>
      <x:c r="C63" s="19" t="str">
        <x:v>8.1 Formal Closure</x:v>
      </x:c>
      <x:c r="D63" s="19" t="str">
        <x:v>Benefits Measurement Handover</x:v>
      </x:c>
      <x:c r="E63" s="19" t="str">
        <x:v>Project Closure</x:v>
      </x:c>
      <x:c r="F63" s="19" t="str">
        <x:v>Transfer benefit metrics, owners, measurement cadence, assumptions, and outstanding realization actions to business ownership.</x:v>
      </x:c>
      <x:c r="G63" s="19" t="str">
        <x:v>Benefits Handover</x:v>
      </x:c>
      <x:c r="H63" s="19" t="str">
        <x:v>Named business owners accept post-project benefit measurement responsibility.</x:v>
      </x:c>
      <x:c r="I63" s="19" t="str">
        <x:v>Project Manager</x:v>
      </x:c>
      <x:c r="J63" s="19" t="str">
        <x:v>Business Owner</x:v>
      </x:c>
      <x:c r="K63" s="19" t="str">
        <x:v>Stable operations and Business Case</x:v>
      </x:c>
      <x:c r="L63" s="19" t="str">
        <x:v>BUS-001 and business-case benefits</x:v>
      </x:c>
      <x:c r="M63" s="19" t="str">
        <x:v>Benefits continue after project closure.</x:v>
      </x:c>
      <x:c r="N63" s="19" t="str">
        <x:v>Project Management</x:v>
      </x:c>
      <x:c r="O63" s="19" t="str">
        <x:v>Project Closure</x:v>
      </x:c>
      <x:c r="P63" s="19" t="str">
        <x:v>Baselined</x:v>
      </x:c>
    </x:row>
    <x:row r="64">
      <x:c r="A64" s="19" t="str">
        <x:v>8.1.5</x:v>
      </x:c>
      <x:c r="B64" s="19" t="str">
        <x:v>8.0 Project Closure</x:v>
      </x:c>
      <x:c r="C64" s="19" t="str">
        <x:v>8.1 Formal Closure</x:v>
      </x:c>
      <x:c r="D64" s="19" t="str">
        <x:v>Project Closure Report &amp; Approval</x:v>
      </x:c>
      <x:c r="E64" s="19" t="str">
        <x:v>Project Closure</x:v>
      </x:c>
      <x:c r="F64" s="19" t="str">
        <x:v>Summarize final performance against scope, schedule, budget, quality, risks, benefits handover, and closure criteria.</x:v>
      </x:c>
      <x:c r="G64" s="19" t="str">
        <x:v>Project Closure Report; Closure approval</x:v>
      </x:c>
      <x:c r="H64" s="19" t="str">
        <x:v>Executive Sponsor approves formal project closure.</x:v>
      </x:c>
      <x:c r="I64" s="19" t="str">
        <x:v>Project Manager</x:v>
      </x:c>
      <x:c r="J64" s="19" t="str">
        <x:v>Executive Sponsor</x:v>
      </x:c>
      <x:c r="K64" s="19" t="str">
        <x:v>8.1.1–8.1.4</x:v>
      </x:c>
      <x:c r="L64" s="19" t="str">
        <x:v>N/A</x:v>
      </x:c>
      <x:c r="M64" s="19" t="str">
        <x:v>All material closure actions have ownership.</x:v>
      </x:c>
      <x:c r="N64" s="19" t="str">
        <x:v>Project Management</x:v>
      </x:c>
      <x:c r="O64" s="19" t="str">
        <x:v>Project Closure</x:v>
      </x:c>
      <x:c r="P64" s="19" t="str">
        <x:v>Baselined</x:v>
      </x:c>
    </x:row>
  </x:sheetData>
  <x:conditionalFormatting sqref="P2:P200">
    <x:cfRule type="expression" dxfId="0" priority="1">
      <x:formula>P2="Baselined"</x:formula>
    </x:cfRule>
  </x:conditionalFormatting>
  <x:dataValidations count="1">
    <x:dataValidation type="list" sqref="P2:P200">
      <x:formula1>"Planned,In Progress,Complete,Baselined"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bdb729268442e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20" hidden="0" customWidth="1"/>
    <x:col min="5" max="5" width="34" hidden="0" customWidth="1"/>
    <x:col min="6" max="6" width="18" hidden="0" customWidth="1"/>
  </x:cols>
  <x:sheetData>
    <x:row r="1">
      <x:c r="A1" s="18" t="str">
        <x:v>Project Atlas — WBS Summary</x:v>
      </x:c>
      <x:c r="B1" s="18"/>
      <x:c r="C1" s="18"/>
      <x:c r="D1" s="18"/>
      <x:c r="E1" s="18"/>
      <x:c r="F1" s="18"/>
      <x:c r="G1" s="18"/>
      <x:c r="H1" s="18"/>
    </x:row>
    <x:row r="2">
      <x:c r="A2" s="19"/>
      <x:c r="B2" s="19"/>
      <x:c r="C2" s="19"/>
      <x:c r="D2" s="19"/>
      <x:c r="E2" s="19"/>
      <x:c r="F2" s="19"/>
      <x:c r="G2" s="19"/>
      <x:c r="H2" s="19"/>
    </x:row>
    <x:row r="3">
      <x:c r="A3" s="15" t="str">
        <x:v>Control Account</x:v>
      </x:c>
      <x:c r="B3" s="15" t="str">
        <x:v>Work Package Count</x:v>
      </x:c>
      <x:c r="C3" s="15" t="str">
        <x:v>Share of Work Packages</x:v>
      </x:c>
      <x:c r="D3" s="19"/>
      <x:c r="E3" s="15" t="str">
        <x:v>Primary Cost Category</x:v>
      </x:c>
      <x:c r="F3" s="15" t="str">
        <x:v>Work Package Count</x:v>
      </x:c>
      <x:c r="G3" s="19"/>
      <x:c r="H3" s="19"/>
    </x:row>
    <x:row r="4">
      <x:c r="A4" s="19" t="str">
        <x:v>1.0 Project Management &amp; Governance</x:v>
      </x:c>
      <x:c r="B4" s="19" t="n">
        <x:f>COUNTIF('WBS Dictionary'!B$2:B$200,A4)</x:f>
        <x:v>10</x:v>
      </x:c>
      <x:c r="C4" s="22" t="n">
        <x:f>IF(SUM($B$4:$B$11)=0,0,B4/SUM($B$4:$B$11))</x:f>
        <x:v>0.15873015873015872</x:v>
      </x:c>
      <x:c r="D4" s="19"/>
      <x:c r="E4" s="19" t="str">
        <x:v>Project Management</x:v>
      </x:c>
      <x:c r="F4" s="19" t="n">
        <x:f>COUNTIF('WBS Dictionary'!N$2:N$200,E4)</x:f>
        <x:v>15</x:v>
      </x:c>
      <x:c r="G4" s="19"/>
      <x:c r="H4" s="19"/>
    </x:row>
    <x:row r="5">
      <x:c r="A5" s="19" t="str">
        <x:v>2.0 Requirements &amp; Solution Design</x:v>
      </x:c>
      <x:c r="B5" s="19" t="n">
        <x:f>COUNTIF('WBS Dictionary'!B$2:B$200,A5)</x:f>
        <x:v>10</x:v>
      </x:c>
      <x:c r="C5" s="22" t="n">
        <x:f>IF(SUM($B$4:$B$11)=0,0,B5/SUM($B$4:$B$11))</x:f>
        <x:v>0.15873015873015872</x:v>
      </x:c>
      <x:c r="D5" s="19"/>
      <x:c r="E5" s="19" t="str">
        <x:v>Internal / Contract Resources</x:v>
      </x:c>
      <x:c r="F5" s="19" t="n">
        <x:f>COUNTIF('WBS Dictionary'!N$2:N$200,E5)</x:f>
        <x:v>30</x:v>
      </x:c>
      <x:c r="G5" s="19"/>
      <x:c r="H5" s="19"/>
    </x:row>
    <x:row r="6">
      <x:c r="A6" s="19" t="str">
        <x:v>3.0 Application Development</x:v>
      </x:c>
      <x:c r="B6" s="19" t="n">
        <x:f>COUNTIF('WBS Dictionary'!B$2:B$200,A6)</x:f>
        <x:v>8</x:v>
      </x:c>
      <x:c r="C6" s="22" t="n">
        <x:f>IF(SUM($B$4:$B$11)=0,0,B6/SUM($B$4:$B$11))</x:f>
        <x:v>0.12698412698412698</x:v>
      </x:c>
      <x:c r="D6" s="19"/>
      <x:c r="E6" s="19" t="str">
        <x:v>External / Specialist Vendor Services</x:v>
      </x:c>
      <x:c r="F6" s="19" t="n">
        <x:f>COUNTIF('WBS Dictionary'!N$2:N$200,E6)</x:f>
        <x:v>1</x:v>
      </x:c>
      <x:c r="G6" s="19"/>
      <x:c r="H6" s="19"/>
    </x:row>
    <x:row r="7">
      <x:c r="A7" s="19" t="str">
        <x:v>4.0 Integration &amp; Data Migration</x:v>
      </x:c>
      <x:c r="B7" s="19" t="n">
        <x:f>COUNTIF('WBS Dictionary'!B$2:B$200,A7)</x:f>
        <x:v>8</x:v>
      </x:c>
      <x:c r="C7" s="22" t="n">
        <x:f>IF(SUM($B$4:$B$11)=0,0,B7/SUM($B$4:$B$11))</x:f>
        <x:v>0.12698412698412698</x:v>
      </x:c>
      <x:c r="D7" s="19"/>
      <x:c r="E7" s="19" t="str">
        <x:v>Cloud &amp; Infrastructure</x:v>
      </x:c>
      <x:c r="F7" s="19" t="n">
        <x:f>COUNTIF('WBS Dictionary'!N$2:N$200,E7)</x:f>
        <x:v>4</x:v>
      </x:c>
      <x:c r="G7" s="19"/>
      <x:c r="H7" s="19"/>
    </x:row>
    <x:row r="8">
      <x:c r="A8" s="19" t="str">
        <x:v>5.0 Testing &amp; Validation</x:v>
      </x:c>
      <x:c r="B8" s="19" t="n">
        <x:f>COUNTIF('WBS Dictionary'!B$2:B$200,A8)</x:f>
        <x:v>10</x:v>
      </x:c>
      <x:c r="C8" s="22" t="n">
        <x:f>IF(SUM($B$4:$B$11)=0,0,B8/SUM($B$4:$B$11))</x:f>
        <x:v>0.15873015873015872</x:v>
      </x:c>
      <x:c r="D8" s="19"/>
      <x:c r="E8" s="19" t="str">
        <x:v>Software &amp; Licensing</x:v>
      </x:c>
      <x:c r="F8" s="19" t="n">
        <x:f>COUNTIF('WBS Dictionary'!N$2:N$200,E8)</x:f>
        <x:v>1</x:v>
      </x:c>
      <x:c r="G8" s="19"/>
      <x:c r="H8" s="19"/>
    </x:row>
    <x:row r="9">
      <x:c r="A9" s="19" t="str">
        <x:v>6.0 Business Readiness &amp; Training</x:v>
      </x:c>
      <x:c r="B9" s="19" t="n">
        <x:f>COUNTIF('WBS Dictionary'!B$2:B$200,A9)</x:f>
        <x:v>4</x:v>
      </x:c>
      <x:c r="C9" s="22" t="n">
        <x:f>IF(SUM($B$4:$B$11)=0,0,B9/SUM($B$4:$B$11))</x:f>
        <x:v>0.06349206349206349</x:v>
      </x:c>
      <x:c r="D9" s="19"/>
      <x:c r="E9" s="19" t="str">
        <x:v>Validation &amp; Security Services</x:v>
      </x:c>
      <x:c r="F9" s="19" t="n">
        <x:f>COUNTIF('WBS Dictionary'!N$2:N$200,E9)</x:f>
        <x:v>8</x:v>
      </x:c>
      <x:c r="G9" s="19"/>
      <x:c r="H9" s="19"/>
    </x:row>
    <x:row r="10">
      <x:c r="A10" s="19" t="str">
        <x:v>7.0 Deployment &amp; Hypercare</x:v>
      </x:c>
      <x:c r="B10" s="19" t="n">
        <x:f>COUNTIF('WBS Dictionary'!B$2:B$200,A10)</x:f>
        <x:v>8</x:v>
      </x:c>
      <x:c r="C10" s="22" t="n">
        <x:f>IF(SUM($B$4:$B$11)=0,0,B10/SUM($B$4:$B$11))</x:f>
        <x:v>0.12698412698412698</x:v>
      </x:c>
      <x:c r="D10" s="19"/>
      <x:c r="E10" s="19" t="str">
        <x:v>Training &amp; Change Readiness</x:v>
      </x:c>
      <x:c r="F10" s="19" t="n">
        <x:f>COUNTIF('WBS Dictionary'!N$2:N$200,E10)</x:f>
        <x:v>4</x:v>
      </x:c>
      <x:c r="G10" s="19"/>
      <x:c r="H10" s="19"/>
    </x:row>
    <x:row r="11">
      <x:c r="A11" s="19" t="str">
        <x:v>8.0 Project Closure</x:v>
      </x:c>
      <x:c r="B11" s="19" t="n">
        <x:f>COUNTIF('WBS Dictionary'!B$2:B$200,A11)</x:f>
        <x:v>5</x:v>
      </x:c>
      <x:c r="C11" s="22" t="n">
        <x:f>IF(SUM($B$4:$B$11)=0,0,B11/SUM($B$4:$B$11))</x:f>
        <x:v>0.07936507936507936</x:v>
      </x:c>
      <x:c r="D11" s="19"/>
      <x:c r="E11" s="19" t="str">
        <x:v>Travel &amp; Operational Costs</x:v>
      </x:c>
      <x:c r="F11" s="19" t="n">
        <x:f>COUNTIF('WBS Dictionary'!N$2:N$200,E11)</x:f>
        <x:v>0</x:v>
      </x:c>
      <x:c r="G11" s="19"/>
      <x:c r="H11" s="19"/>
    </x:row>
    <x:row r="12">
      <x:c r="A12" s="19"/>
      <x:c r="B12" s="19"/>
      <x:c r="C12" s="19"/>
      <x:c r="D12" s="19"/>
      <x:c r="E12" s="19"/>
      <x:c r="F12" s="19"/>
      <x:c r="G12" s="19"/>
      <x:c r="H12" s="19"/>
    </x:row>
    <x:row r="13">
      <x:c r="A13" s="19"/>
      <x:c r="B13" s="19"/>
      <x:c r="C13" s="19"/>
      <x:c r="D13" s="19"/>
      <x:c r="E13" s="19"/>
      <x:c r="F13" s="19"/>
      <x:c r="G13" s="19"/>
      <x:c r="H13" s="19"/>
    </x:row>
    <x:row r="14">
      <x:c r="A14" s="19"/>
      <x:c r="B14" s="19"/>
      <x:c r="C14" s="19"/>
      <x:c r="D14" s="19"/>
      <x:c r="E14" s="19"/>
      <x:c r="F14" s="19"/>
      <x:c r="G14" s="19"/>
      <x:c r="H14" s="19"/>
    </x:row>
    <x:row r="15">
      <x:c r="A15" s="19"/>
      <x:c r="B15" s="19"/>
      <x:c r="C15" s="19"/>
      <x:c r="D15" s="19"/>
      <x:c r="E15" s="19"/>
      <x:c r="F15" s="19"/>
      <x:c r="G15" s="19"/>
      <x:c r="H15" s="19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7c38abc41c7440b4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>
      <x:c r="A1" s="15" t="str">
        <x:v>Workstream</x:v>
      </x:c>
      <x:c r="B1" s="15" t="str">
        <x:v>Owner Role</x:v>
      </x:c>
      <x:c r="C1" s="15" t="str">
        <x:v>Acceptance Authority</x:v>
      </x:c>
      <x:c r="D1" s="15" t="str">
        <x:v>Cost Category</x:v>
      </x:c>
      <x:c r="E1" s="15" t="str">
        <x:v>Status</x:v>
      </x:c>
    </x:row>
    <x:row r="2">
      <x:c r="A2" t="str">
        <x:v>Project Management &amp; Governance</x:v>
      </x:c>
      <x:c r="B2" t="str">
        <x:v>Project Manager</x:v>
      </x:c>
      <x:c r="C2" t="str">
        <x:v>Executive Sponsor</x:v>
      </x:c>
      <x:c r="D2" t="str">
        <x:v>Project Management</x:v>
      </x:c>
      <x:c r="E2" t="str">
        <x:v>Baselined</x:v>
      </x:c>
    </x:row>
    <x:row r="3">
      <x:c r="A3" t="str">
        <x:v>Requirements &amp; Solution Design</x:v>
      </x:c>
      <x:c r="B3" t="str">
        <x:v>Business Analysis Lead</x:v>
      </x:c>
      <x:c r="C3" t="str">
        <x:v>Business Owner</x:v>
      </x:c>
      <x:c r="D3" t="str">
        <x:v>Internal / Contract Resources</x:v>
      </x:c>
      <x:c r="E3" t="str">
        <x:v>Planned</x:v>
      </x:c>
    </x:row>
    <x:row r="4">
      <x:c r="A4" t="str">
        <x:v>Application Development</x:v>
      </x:c>
      <x:c r="B4" t="str">
        <x:v>Application Development Lead</x:v>
      </x:c>
      <x:c r="C4" t="str">
        <x:v>Technology Lead</x:v>
      </x:c>
      <x:c r="D4" t="str">
        <x:v>Internal / Contract Resources</x:v>
      </x:c>
      <x:c r="E4" t="str">
        <x:v>In Progress</x:v>
      </x:c>
    </x:row>
    <x:row r="5">
      <x:c r="A5" t="str">
        <x:v>Integration &amp; Data Migration</x:v>
      </x:c>
      <x:c r="B5" t="str">
        <x:v>Integration &amp; Data Migration Lead</x:v>
      </x:c>
      <x:c r="C5" t="str">
        <x:v>Technology Lead</x:v>
      </x:c>
      <x:c r="D5" t="str">
        <x:v>Internal / Contract Resources</x:v>
      </x:c>
      <x:c r="E5" t="str">
        <x:v>Complete</x:v>
      </x:c>
    </x:row>
    <x:row r="6">
      <x:c r="A6" t="str">
        <x:v>Testing &amp; Validation</x:v>
      </x:c>
      <x:c r="B6" t="str">
        <x:v>Validation &amp; Deployment Lead</x:v>
      </x:c>
      <x:c r="C6" t="str">
        <x:v>Quality / Compliance</x:v>
      </x:c>
      <x:c r="D6" t="str">
        <x:v>Validation &amp; Security Services</x:v>
      </x:c>
      <x:c r="E6" t="str"/>
    </x:row>
    <x:row r="7">
      <x:c r="A7" t="str">
        <x:v>Business Readiness &amp; Training</x:v>
      </x:c>
      <x:c r="B7" t="str">
        <x:v>Change &amp; Training Lead</x:v>
      </x:c>
      <x:c r="C7" t="str">
        <x:v>Business Owner</x:v>
      </x:c>
      <x:c r="D7" t="str">
        <x:v>Training &amp; Change Readiness</x:v>
      </x:c>
      <x:c r="E7" t="str"/>
    </x:row>
    <x:row r="8">
      <x:c r="A8" t="str">
        <x:v>Deployment &amp; Hypercare</x:v>
      </x:c>
      <x:c r="B8" t="str">
        <x:v>Validation &amp; Deployment Lead</x:v>
      </x:c>
      <x:c r="C8" t="str">
        <x:v>Steering Committee</x:v>
      </x:c>
      <x:c r="D8" t="str">
        <x:v>Cloud &amp; Infrastructure</x:v>
      </x:c>
      <x:c r="E8" t="str"/>
    </x:row>
    <x:row r="9">
      <x:c r="A9" t="str">
        <x:v>Project Closure</x:v>
      </x:c>
      <x:c r="B9" t="str">
        <x:v>Project Manager</x:v>
      </x:c>
      <x:c r="C9" t="str">
        <x:v>Executive Sponsor</x:v>
      </x:c>
      <x:c r="D9" t="str">
        <x:v>Project Management</x:v>
      </x:c>
      <x:c r="E9" t="str"/>
    </x:row>
    <x:row r="10">
      <x:c r="A10" t="str"/>
      <x:c r="B10" t="str"/>
      <x:c r="C10" t="str">
        <x:v>Information Security</x:v>
      </x:c>
      <x:c r="D10" t="str">
        <x:v>Software &amp; Licensing</x:v>
      </x:c>
      <x:c r="E10" t="str"/>
    </x:row>
    <x:row r="11">
      <x:c r="A11" t="str"/>
      <x:c r="B11" t="str"/>
      <x:c r="C11" t="str">
        <x:v>Operations Lead</x:v>
      </x:c>
      <x:c r="D11" t="str">
        <x:v>External / Specialist Vendor Services</x:v>
      </x:c>
      <x:c r="E11" t="str"/>
    </x:row>
    <x:row r="12">
      <x:c r="A12" t="str"/>
      <x:c r="B12" t="str"/>
      <x:c r="C12" t="str"/>
      <x:c r="D12" t="str">
        <x:v>Travel &amp; Operational Costs</x:v>
      </x:c>
      <x:c r="E12" t="str"/>
    </x:row>
  </x:sheetData>
  <x:pageMargins left="0.7" right="0.7" top="0.75" bottom="0.75" header="0.3" footer="0.3"/>
</x:worksheet>
</file>