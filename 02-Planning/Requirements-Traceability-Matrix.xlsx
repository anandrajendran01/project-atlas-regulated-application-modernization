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ebb99a8e924f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4debfd39d6274ea0"/>
    <x:sheet xmlns:r="http://schemas.openxmlformats.org/officeDocument/2006/relationships" name="Requirements" sheetId="2" r:id="Ra90bd556d6ca484d"/>
    <x:sheet xmlns:r="http://schemas.openxmlformats.org/officeDocument/2006/relationships" name="Traceability Summary" sheetId="3" r:id="Rd644fea3a9234269"/>
    <x:sheet xmlns:r="http://schemas.openxmlformats.org/officeDocument/2006/relationships" name="Lists" sheetId="4" r:id="R5e0305c2b00841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3">
    <x:font>
      <x:sz val="11"/>
      <x:name val="Carlito"/>
    </x:font>
    <x:font>
      <x:b/>
      <x:sz val="16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horizont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</x:font>
    </x:dxf>
    <x:dxf>
      <x:font>
        <x:b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77212610504c6e" /><Relationship Type="http://schemas.openxmlformats.org/officeDocument/2006/relationships/theme" Target="/xl/theme/theme1.xml" Id="Rcbfaf554a0fc4559" /><Relationship Type="http://schemas.openxmlformats.org/officeDocument/2006/relationships/sharedStrings" Target="/xl/sharedStrings.xml" Id="R69333a97a4bc4f92" /><Relationship Type="http://schemas.openxmlformats.org/officeDocument/2006/relationships/worksheet" Target="/xl/worksheets/sheet1.xml" Id="R4debfd39d6274ea0" /><Relationship Type="http://schemas.openxmlformats.org/officeDocument/2006/relationships/worksheet" Target="/xl/worksheets/sheet2.xml" Id="Ra90bd556d6ca484d" /><Relationship Type="http://schemas.openxmlformats.org/officeDocument/2006/relationships/worksheet" Target="/xl/worksheets/sheet3.xml" Id="Rd644fea3a9234269" /><Relationship Type="http://schemas.openxmlformats.org/officeDocument/2006/relationships/worksheet" Target="/xl/worksheets/sheet4.xml" Id="R5e0305c2b0084105" /></Relationships>
</file>

<file path=xl/tables/table1.xml><?xml version="1.0" encoding="utf-8"?>
<x:table xmlns:x="http://schemas.openxmlformats.org/spreadsheetml/2006/main" id="1" name="RequirementsTable" displayName="RequirementsTable" ref="A1:P29" headerRowCount="1" totalsRowCount="0" totalsRowShown="0">
  <x:tableColumns count="16">
    <x:tableColumn id="1" name="Req ID"/>
    <x:tableColumn id="2" name="Category"/>
    <x:tableColumn id="3" name="Requirement Description"/>
    <x:tableColumn id="4" name="Business Objective / Rationale"/>
    <x:tableColumn id="5" name="Source / Owner"/>
    <x:tableColumn id="6" name="Priority"/>
    <x:tableColumn id="7" name="In Scope?"/>
    <x:tableColumn id="8" name="Acceptance Criteria"/>
    <x:tableColumn id="9" name="Verification Method"/>
    <x:tableColumn id="10" name="Workstream / Deliverable"/>
    <x:tableColumn id="11" name="Design Ref"/>
    <x:tableColumn id="12" name="Test Case ID"/>
    <x:tableColumn id="13" name="Approval Authority"/>
    <x:tableColumn id="14" name="Status"/>
    <x:tableColumn id="15" name="Change Ref"/>
    <x:tableColumn id="1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1ef67e989964c9b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28" hidden="0" customWidth="1"/>
    <x:col min="4" max="4" width="28" hidden="0" customWidth="1"/>
  </x:cols>
  <x:sheetData>
    <x:row r="1" ht="19.200000762939453" hidden="0" customHeight="1">
      <x:c r="A1" s="18" t="str">
        <x:v>Project Atlas — Requirements Traceability Matrix</x:v>
      </x:c>
      <x:c r="B1" s="18"/>
      <x:c r="C1" s="18"/>
      <x:c r="D1" s="18"/>
      <x:c r="E1" s="18"/>
      <x:c r="F1" s="18"/>
      <x:c r="G1" s="18"/>
      <x:c r="H1" s="18"/>
    </x:row>
    <x:row r="2" ht="15" hidden="0" customHeight="1">
      <x:c r="A2" s="19"/>
      <x:c r="B2" s="19"/>
      <x:c r="C2" s="19"/>
      <x:c r="D2" s="19"/>
      <x:c r="E2" s="19"/>
      <x:c r="F2" s="19"/>
      <x:c r="G2" s="19"/>
      <x:c r="H2" s="19"/>
    </x:row>
    <x:row r="3" ht="26.399999618530273" hidden="0" customHeight="1">
      <x:c r="A3" s="11" t="str">
        <x:v>Project</x:v>
      </x:c>
      <x:c r="B3" s="19" t="str">
        <x:v>Project Atlas</x:v>
      </x:c>
      <x:c r="C3" s="19"/>
      <x:c r="D3" s="19"/>
      <x:c r="E3" s="19"/>
      <x:c r="F3" s="19"/>
      <x:c r="G3" s="19"/>
      <x:c r="H3" s="19"/>
    </x:row>
    <x:row r="4" ht="52.79999923706055" hidden="0" customHeight="1">
      <x:c r="A4" s="11" t="str">
        <x:v>Artifact</x:v>
      </x:c>
      <x:c r="B4" s="19" t="str">
        <x:v>Requirements Traceability Matrix</x:v>
      </x:c>
      <x:c r="C4" s="19"/>
      <x:c r="D4" s="19"/>
      <x:c r="E4" s="19"/>
      <x:c r="F4" s="19"/>
      <x:c r="G4" s="19"/>
      <x:c r="H4" s="19"/>
    </x:row>
    <x:row r="5" ht="39.599998474121094" hidden="0" customHeight="1">
      <x:c r="A5" s="11" t="str">
        <x:v>Delivery Model</x:v>
      </x:c>
      <x:c r="B5" s="19" t="str">
        <x:v>Predictive / Waterfall</x:v>
      </x:c>
      <x:c r="C5" s="19"/>
      <x:c r="D5" s="19"/>
      <x:c r="E5" s="19"/>
      <x:c r="F5" s="19"/>
      <x:c r="G5" s="19"/>
      <x:c r="H5" s="19"/>
    </x:row>
    <x:row r="6" ht="26.399999618530273" hidden="0" customHeight="1">
      <x:c r="A6" s="11" t="str">
        <x:v>Baseline Version</x:v>
      </x:c>
      <x:c r="B6" s="19" t="str">
        <x:v>1.0</x:v>
      </x:c>
      <x:c r="C6" s="19"/>
      <x:c r="D6" s="19"/>
      <x:c r="E6" s="19"/>
      <x:c r="F6" s="19"/>
      <x:c r="G6" s="19"/>
      <x:c r="H6" s="19"/>
    </x:row>
    <x:row r="7" ht="26.399999618530273" hidden="0" customHeight="1">
      <x:c r="A7" s="11" t="str">
        <x:v>Current Stage</x:v>
      </x:c>
      <x:c r="B7" s="19" t="str">
        <x:v>Planning</x:v>
      </x:c>
      <x:c r="C7" s="19"/>
      <x:c r="D7" s="19"/>
      <x:c r="E7" s="19"/>
      <x:c r="F7" s="19"/>
      <x:c r="G7" s="19"/>
      <x:c r="H7" s="19"/>
    </x:row>
    <x:row r="8" ht="145.1999969482422" hidden="0" customHeight="1">
      <x:c r="A8" s="11" t="str">
        <x:v>Purpose</x:v>
      </x:c>
      <x:c r="B8" s="19" t="str">
        <x:v>Trace approved requirements from business need through verification and acceptance.</x:v>
      </x:c>
      <x:c r="C8" s="19"/>
      <x:c r="D8" s="19"/>
      <x:c r="E8" s="19"/>
      <x:c r="F8" s="19"/>
      <x:c r="G8" s="19"/>
      <x:c r="H8" s="19"/>
    </x:row>
    <x:row r="9" ht="118.80000305175781" hidden="0" customHeight="1">
      <x:c r="A9" s="11" t="str">
        <x:v>Scope Note</x:v>
      </x:c>
      <x:c r="B9" s="19" t="str">
        <x:v>Requirements are synthetic and created solely for portfolio demonstration.</x:v>
      </x:c>
      <x:c r="C9" s="19"/>
      <x:c r="D9" s="19"/>
      <x:c r="E9" s="19"/>
      <x:c r="F9" s="19"/>
      <x:c r="G9" s="19"/>
      <x:c r="H9" s="19"/>
    </x:row>
    <x:row r="10" ht="171.60000610351562" hidden="0" customHeight="1">
      <x:c r="A10" s="11" t="str">
        <x:v>Traceability Model</x:v>
      </x:c>
      <x:c r="B10" s="19" t="str">
        <x:v>Business Need → Requirement → Workstream → Acceptance Criteria → Verification → Test Evidence → Status</x:v>
      </x:c>
      <x:c r="C10" s="19"/>
      <x:c r="D10" s="19"/>
      <x:c r="E10" s="19"/>
      <x:c r="F10" s="19"/>
      <x:c r="G10" s="19"/>
      <x:c r="H10" s="19"/>
    </x:row>
    <x:row r="11" ht="105.5999984741211" hidden="0" customHeight="1">
      <x:c r="A11" s="11" t="str">
        <x:v>Change Control</x:v>
      </x:c>
      <x:c r="B11" s="19" t="str">
        <x:v>Material baseline changes require impact assessment and approval.</x:v>
      </x:c>
      <x:c r="C11" s="19"/>
      <x:c r="D11" s="19"/>
      <x:c r="E11" s="19"/>
      <x:c r="F11" s="19"/>
      <x:c r="G11" s="19"/>
      <x:c r="H11" s="19"/>
    </x:row>
    <x:row r="12" ht="132" hidden="0" customHeight="1">
      <x:c r="A12" s="11" t="str">
        <x:v>Next Dependency</x:v>
      </x:c>
      <x:c r="B12" s="19" t="str">
        <x:v>WBS and WBS Dictionary will decompose the approved scope into work packages.</x:v>
      </x:c>
      <x:c r="C12" s="19"/>
      <x:c r="D12" s="19"/>
      <x:c r="E12" s="19"/>
      <x:c r="F12" s="19"/>
      <x:c r="G12" s="19"/>
      <x:c r="H12" s="19"/>
    </x:row>
    <x:row r="13" ht="15" hidden="0" customHeight="1">
      <x:c r="A13" s="19"/>
      <x:c r="B13" s="19"/>
      <x:c r="C13" s="19"/>
      <x:c r="D13" s="19"/>
      <x:c r="E13" s="19"/>
      <x:c r="F13" s="19"/>
      <x:c r="G13" s="19"/>
      <x:c r="H13" s="19"/>
    </x:row>
    <x:row r="14" ht="26.399999618530273" hidden="0" customHeight="1">
      <x:c r="A14" s="13" t="str">
        <x:v>Key Metric</x:v>
      </x:c>
      <x:c r="B14" s="13" t="str">
        <x:v>Value</x:v>
      </x:c>
      <x:c r="C14" s="13" t="str">
        <x:v>Interpretation</x:v>
      </x:c>
      <x:c r="D14" s="13" t="str">
        <x:v>Target</x:v>
      </x:c>
      <x:c r="E14" s="19"/>
      <x:c r="F14" s="19"/>
      <x:c r="G14" s="19"/>
      <x:c r="H14" s="19"/>
    </x:row>
    <x:row r="15" ht="66" hidden="0" customHeight="1">
      <x:c r="A15" s="19" t="str">
        <x:v>Total Requirements</x:v>
      </x:c>
      <x:c r="B15" s="19" t="n">
        <x:f>COUNTA(Requirements!A2:A200)</x:f>
        <x:v>28</x:v>
      </x:c>
      <x:c r="C15" s="19" t="str">
        <x:v>Number of recorded requirements</x:v>
      </x:c>
      <x:c r="D15" s="19" t="str">
        <x:v>N/A</x:v>
      </x:c>
      <x:c r="E15" s="19"/>
      <x:c r="F15" s="19"/>
      <x:c r="G15" s="19"/>
      <x:c r="H15" s="19"/>
    </x:row>
    <x:row r="16" ht="52.79999923706055" hidden="0" customHeight="1">
      <x:c r="A16" s="19" t="str">
        <x:v>Approved Requirements</x:v>
      </x:c>
      <x:c r="B16" s="19" t="n">
        <x:f>COUNTIF(Requirements!N2:N200,"Approved")</x:f>
        <x:v>28</x:v>
      </x:c>
      <x:c r="C16" s="19" t="str">
        <x:v>Requirements currently approved</x:v>
      </x:c>
      <x:c r="D16" s="19" t="str">
        <x:v>All baseline requirements</x:v>
      </x:c>
      <x:c r="E16" s="19"/>
      <x:c r="F16" s="19"/>
      <x:c r="G16" s="19"/>
      <x:c r="H16" s="19"/>
    </x:row>
    <x:row r="17" ht="92.4000015258789" hidden="0" customHeight="1">
      <x:c r="A17" s="19" t="str">
        <x:v>Requirements with Test IDs</x:v>
      </x:c>
      <x:c r="B17" s="19" t="n">
        <x:f>COUNTIF(Requirements!L2:L200,"&lt;&gt;")</x:f>
        <x:v>28</x:v>
      </x:c>
      <x:c r="C17" s="19" t="str">
        <x:v>Requirements linked to planned verification evidence</x:v>
      </x:c>
      <x:c r="D17" s="19" t="str">
        <x:v>100% before validation exit</x:v>
      </x:c>
      <x:c r="E17" s="19"/>
      <x:c r="F17" s="19"/>
      <x:c r="G17" s="19"/>
      <x:c r="H17" s="19"/>
    </x:row>
    <x:row r="18" ht="79.19999694824219" hidden="0" customHeight="1">
      <x:c r="A18" s="19" t="str">
        <x:v>Traceability Completeness</x:v>
      </x:c>
      <x:c r="B18" s="20" t="n">
        <x:f>IF(B15=0,0,B17/B15)</x:f>
        <x:v>1</x:v>
      </x:c>
      <x:c r="C18" s="19" t="str">
        <x:v>Share of requirements with planned test evidence</x:v>
      </x:c>
      <x:c r="D18" s="19" t="str">
        <x:v>100%</x:v>
      </x:c>
      <x:c r="E18" s="19"/>
      <x:c r="F18" s="19"/>
      <x:c r="G18" s="19"/>
      <x:c r="H18" s="19"/>
    </x:row>
    <x:row r="19" ht="15" hidden="0" customHeight="1">
      <x:c r="A19" s="19"/>
      <x:c r="B19" s="19"/>
      <x:c r="C19" s="19"/>
      <x:c r="D19" s="19"/>
      <x:c r="E19" s="19"/>
      <x:c r="F19" s="19"/>
      <x:c r="G19" s="19"/>
      <x:c r="H19" s="19"/>
    </x:row>
    <x:row r="20" ht="15" hidden="0" customHeight="1">
      <x:c r="A20" s="19"/>
      <x:c r="B20" s="19"/>
      <x:c r="C20" s="19"/>
      <x:c r="D20" s="19"/>
      <x:c r="E20" s="19"/>
      <x:c r="F20" s="19"/>
      <x:c r="G20" s="19"/>
      <x:c r="H20" s="19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6" hidden="0" customWidth="1"/>
    <x:col min="3" max="3" width="42" hidden="0" customWidth="1"/>
    <x:col min="4" max="4" width="34" hidden="0" customWidth="1"/>
    <x:col min="5" max="5" width="22" hidden="0" customWidth="1"/>
    <x:col min="6" max="6" width="10" hidden="0" customWidth="1"/>
    <x:col min="7" max="7" width="10" hidden="0" customWidth="1"/>
    <x:col min="8" max="8" width="44" hidden="0" customWidth="1"/>
    <x:col min="9" max="9" width="22" hidden="0" customWidth="1"/>
    <x:col min="10" max="10" width="28" hidden="0" customWidth="1"/>
    <x:col min="11" max="11" width="16" hidden="0" customWidth="1"/>
    <x:col min="12" max="12" width="16" hidden="0" customWidth="1"/>
    <x:col min="13" max="13" width="22" hidden="0" customWidth="1"/>
    <x:col min="14" max="14" width="14" hidden="0" customWidth="1"/>
    <x:col min="15" max="15" width="14" hidden="0" customWidth="1"/>
    <x:col min="16" max="16" width="24" hidden="0" customWidth="1"/>
  </x:cols>
  <x:sheetData>
    <x:row r="1">
      <x:c r="A1" s="13" t="str">
        <x:v>Req ID</x:v>
      </x:c>
      <x:c r="B1" s="13" t="str">
        <x:v>Category</x:v>
      </x:c>
      <x:c r="C1" s="13" t="str">
        <x:v>Requirement Description</x:v>
      </x:c>
      <x:c r="D1" s="13" t="str">
        <x:v>Business Objective / Rationale</x:v>
      </x:c>
      <x:c r="E1" s="13" t="str">
        <x:v>Source / Owner</x:v>
      </x:c>
      <x:c r="F1" s="13" t="str">
        <x:v>Priority</x:v>
      </x:c>
      <x:c r="G1" s="13" t="str">
        <x:v>In Scope?</x:v>
      </x:c>
      <x:c r="H1" s="13" t="str">
        <x:v>Acceptance Criteria</x:v>
      </x:c>
      <x:c r="I1" s="13" t="str">
        <x:v>Verification Method</x:v>
      </x:c>
      <x:c r="J1" s="13" t="str">
        <x:v>Workstream / Deliverable</x:v>
      </x:c>
      <x:c r="K1" s="13" t="str">
        <x:v>Design Ref</x:v>
      </x:c>
      <x:c r="L1" s="13" t="str">
        <x:v>Test Case ID</x:v>
      </x:c>
      <x:c r="M1" s="13" t="str">
        <x:v>Approval Authority</x:v>
      </x:c>
      <x:c r="N1" s="13" t="str">
        <x:v>Status</x:v>
      </x:c>
      <x:c r="O1" s="13" t="str">
        <x:v>Change Ref</x:v>
      </x:c>
      <x:c r="P1" s="13" t="str">
        <x:v>Notes</x:v>
      </x:c>
    </x:row>
    <x:row r="2">
      <x:c r="A2" s="19" t="str">
        <x:v>BUS-001</x:v>
      </x:c>
      <x:c r="B2" s="19" t="str">
        <x:v>Business</x:v>
      </x:c>
      <x:c r="C2" s="19" t="str">
        <x:v>The solution shall support the approved end-to-end regulated business workflow within a single enterprise application.</x:v>
      </x:c>
      <x:c r="D2" s="19" t="str">
        <x:v>Reduce fragmented processing and legacy dependency.</x:v>
      </x:c>
      <x:c r="E2" s="19" t="str">
        <x:v>Business Owner</x:v>
      </x:c>
      <x:c r="F2" s="19" t="str">
        <x:v>Must</x:v>
      </x:c>
      <x:c r="G2" s="19" t="str">
        <x:v>Yes</x:v>
      </x:c>
      <x:c r="H2" s="19" t="str">
        <x:v>Approved workflow can be completed end-to-end without use of the legacy application except approved archival access.</x:v>
      </x:c>
      <x:c r="I2" s="19" t="str">
        <x:v>UAT</x:v>
      </x:c>
      <x:c r="J2" s="19" t="str">
        <x:v>Application Development</x:v>
      </x:c>
      <x:c r="K2" s="19" t="str">
        <x:v>DES-APP-001</x:v>
      </x:c>
      <x:c r="L2" s="19" t="str">
        <x:v>UAT-001</x:v>
      </x:c>
      <x:c r="M2" s="19" t="str">
        <x:v>Business Owner</x:v>
      </x:c>
      <x:c r="N2" s="19" t="str">
        <x:v>Approved</x:v>
      </x:c>
      <x:c r="O2" s="19" t="str"/>
      <x:c r="P2" s="19" t="str">
        <x:v>Core business outcome.</x:v>
      </x:c>
    </x:row>
    <x:row r="3">
      <x:c r="A3" s="19" t="str">
        <x:v>BUS-002</x:v>
      </x:c>
      <x:c r="B3" s="19" t="str">
        <x:v>Business</x:v>
      </x:c>
      <x:c r="C3" s="19" t="str">
        <x:v>The solution shall provide auditability of key user actions and business-status changes.</x:v>
      </x:c>
      <x:c r="D3" s="19" t="str">
        <x:v>Improve regulatory traceability and audit readiness.</x:v>
      </x:c>
      <x:c r="E3" s="19" t="str">
        <x:v>Quality / Compliance Lead</x:v>
      </x:c>
      <x:c r="F3" s="19" t="str">
        <x:v>Must</x:v>
      </x:c>
      <x:c r="G3" s="19" t="str">
        <x:v>Yes</x:v>
      </x:c>
      <x:c r="H3" s="19" t="str">
        <x:v>Audit records capture user, timestamp, action, prior state and resulting state for designated controlled events.</x:v>
      </x:c>
      <x:c r="I3" s="19" t="str">
        <x:v>Validation Test</x:v>
      </x:c>
      <x:c r="J3" s="19" t="str">
        <x:v>Validation &amp; Deployment</x:v>
      </x:c>
      <x:c r="K3" s="19" t="str">
        <x:v>DES-SEC-002</x:v>
      </x:c>
      <x:c r="L3" s="19" t="str">
        <x:v>VAL-002</x:v>
      </x:c>
      <x:c r="M3" s="19" t="str">
        <x:v>Quality / Compliance</x:v>
      </x:c>
      <x:c r="N3" s="19" t="str">
        <x:v>Approved</x:v>
      </x:c>
      <x:c r="O3" s="19" t="str"/>
      <x:c r="P3" s="19" t="str"/>
    </x:row>
    <x:row r="4">
      <x:c r="A4" s="19" t="str">
        <x:v>FUN-001</x:v>
      </x:c>
      <x:c r="B4" s="19" t="str">
        <x:v>Functional</x:v>
      </x:c>
      <x:c r="C4" s="19" t="str">
        <x:v>Authorized users shall be able to create, review, update and submit regulated business records according to role permissions.</x:v>
      </x:c>
      <x:c r="D4" s="19" t="str">
        <x:v>Enable controlled digital workflow.</x:v>
      </x:c>
      <x:c r="E4" s="19" t="str">
        <x:v>Business Process Lead</x:v>
      </x:c>
      <x:c r="F4" s="19" t="str">
        <x:v>Must</x:v>
      </x:c>
      <x:c r="G4" s="19" t="str">
        <x:v>Yes</x:v>
      </x:c>
      <x:c r="H4" s="19" t="str">
        <x:v>Users can execute permitted workflow actions and prohibited actions are blocked based on role.</x:v>
      </x:c>
      <x:c r="I4" s="19" t="str">
        <x:v>System Test</x:v>
      </x:c>
      <x:c r="J4" s="19" t="str">
        <x:v>Application Development</x:v>
      </x:c>
      <x:c r="K4" s="19" t="str">
        <x:v>DES-APP-002</x:v>
      </x:c>
      <x:c r="L4" s="19" t="str">
        <x:v>SYS-001</x:v>
      </x:c>
      <x:c r="M4" s="19" t="str">
        <x:v>Business Owner</x:v>
      </x:c>
      <x:c r="N4" s="19" t="str">
        <x:v>Approved</x:v>
      </x:c>
      <x:c r="O4" s="19" t="str"/>
      <x:c r="P4" s="19" t="str"/>
    </x:row>
    <x:row r="5">
      <x:c r="A5" s="19" t="str">
        <x:v>FUN-002</x:v>
      </x:c>
      <x:c r="B5" s="19" t="str">
        <x:v>Functional</x:v>
      </x:c>
      <x:c r="C5" s="19" t="str">
        <x:v>The application shall route records through configurable approval stages based on business rules.</x:v>
      </x:c>
      <x:c r="D5" s="19" t="str">
        <x:v>Standardize approval workflow.</x:v>
      </x:c>
      <x:c r="E5" s="19" t="str">
        <x:v>Business Process Lead</x:v>
      </x:c>
      <x:c r="F5" s="19" t="str">
        <x:v>Must</x:v>
      </x:c>
      <x:c r="G5" s="19" t="str">
        <x:v>Yes</x:v>
      </x:c>
      <x:c r="H5" s="19" t="str">
        <x:v>Test records follow configured routing rules for all approved workflow scenarios.</x:v>
      </x:c>
      <x:c r="I5" s="19" t="str">
        <x:v>System Test</x:v>
      </x:c>
      <x:c r="J5" s="19" t="str">
        <x:v>Application Development</x:v>
      </x:c>
      <x:c r="K5" s="19" t="str">
        <x:v>DES-APP-003</x:v>
      </x:c>
      <x:c r="L5" s="19" t="str">
        <x:v>SYS-002</x:v>
      </x:c>
      <x:c r="M5" s="19" t="str">
        <x:v>Business Owner</x:v>
      </x:c>
      <x:c r="N5" s="19" t="str">
        <x:v>Approved</x:v>
      </x:c>
      <x:c r="O5" s="19" t="str"/>
      <x:c r="P5" s="19" t="str"/>
    </x:row>
    <x:row r="6">
      <x:c r="A6" s="19" t="str">
        <x:v>FUN-003</x:v>
      </x:c>
      <x:c r="B6" s="19" t="str">
        <x:v>Functional</x:v>
      </x:c>
      <x:c r="C6" s="19" t="str">
        <x:v>Users shall be able to search and filter records using approved business attributes.</x:v>
      </x:c>
      <x:c r="D6" s="19" t="str">
        <x:v>Improve user productivity and retrieval.</x:v>
      </x:c>
      <x:c r="E6" s="19" t="str">
        <x:v>Business Process Lead</x:v>
      </x:c>
      <x:c r="F6" s="19" t="str">
        <x:v>Should</x:v>
      </x:c>
      <x:c r="G6" s="19" t="str">
        <x:v>Yes</x:v>
      </x:c>
      <x:c r="H6" s="19" t="str">
        <x:v>Search results return accurate records for approved searchable fields within the performance threshold.</x:v>
      </x:c>
      <x:c r="I6" s="19" t="str">
        <x:v>System Test</x:v>
      </x:c>
      <x:c r="J6" s="19" t="str">
        <x:v>Application Development</x:v>
      </x:c>
      <x:c r="K6" s="19" t="str">
        <x:v>DES-APP-004</x:v>
      </x:c>
      <x:c r="L6" s="19" t="str">
        <x:v>SYS-003</x:v>
      </x:c>
      <x:c r="M6" s="19" t="str">
        <x:v>Business Owner</x:v>
      </x:c>
      <x:c r="N6" s="19" t="str">
        <x:v>Approved</x:v>
      </x:c>
      <x:c r="O6" s="19" t="str"/>
      <x:c r="P6" s="19" t="str"/>
    </x:row>
    <x:row r="7">
      <x:c r="A7" s="19" t="str">
        <x:v>FUN-004</x:v>
      </x:c>
      <x:c r="B7" s="19" t="str">
        <x:v>Functional</x:v>
      </x:c>
      <x:c r="C7" s="19" t="str">
        <x:v>The application shall generate approved operational status reports for business users.</x:v>
      </x:c>
      <x:c r="D7" s="19" t="str">
        <x:v>Improve operational visibility.</x:v>
      </x:c>
      <x:c r="E7" s="19" t="str">
        <x:v>Business Owner</x:v>
      </x:c>
      <x:c r="F7" s="19" t="str">
        <x:v>Should</x:v>
      </x:c>
      <x:c r="G7" s="19" t="str">
        <x:v>Yes</x:v>
      </x:c>
      <x:c r="H7" s="19" t="str">
        <x:v>Reports reconcile to underlying approved transaction data for defined sample scenarios.</x:v>
      </x:c>
      <x:c r="I7" s="19" t="str">
        <x:v>UAT</x:v>
      </x:c>
      <x:c r="J7" s="19" t="str">
        <x:v>Application Development</x:v>
      </x:c>
      <x:c r="K7" s="19" t="str">
        <x:v>DES-RPT-001</x:v>
      </x:c>
      <x:c r="L7" s="19" t="str">
        <x:v>UAT-004</x:v>
      </x:c>
      <x:c r="M7" s="19" t="str">
        <x:v>Business Owner</x:v>
      </x:c>
      <x:c r="N7" s="19" t="str">
        <x:v>Approved</x:v>
      </x:c>
      <x:c r="O7" s="19" t="str"/>
      <x:c r="P7" s="19" t="str"/>
    </x:row>
    <x:row r="8">
      <x:c r="A8" s="19" t="str">
        <x:v>FUN-005</x:v>
      </x:c>
      <x:c r="B8" s="19" t="str">
        <x:v>Functional</x:v>
      </x:c>
      <x:c r="C8" s="19" t="str">
        <x:v>The solution shall generate user notifications for designated workflow events.</x:v>
      </x:c>
      <x:c r="D8" s="19" t="str">
        <x:v>Reduce manual follow-up.</x:v>
      </x:c>
      <x:c r="E8" s="19" t="str">
        <x:v>Business Process Lead</x:v>
      </x:c>
      <x:c r="F8" s="19" t="str">
        <x:v>Should</x:v>
      </x:c>
      <x:c r="G8" s="19" t="str">
        <x:v>Yes</x:v>
      </x:c>
      <x:c r="H8" s="19" t="str">
        <x:v>Notifications are generated for all configured trigger events and contain approved content.</x:v>
      </x:c>
      <x:c r="I8" s="19" t="str">
        <x:v>System Test</x:v>
      </x:c>
      <x:c r="J8" s="19" t="str">
        <x:v>Application Development</x:v>
      </x:c>
      <x:c r="K8" s="19" t="str">
        <x:v>DES-APP-005</x:v>
      </x:c>
      <x:c r="L8" s="19" t="str">
        <x:v>SYS-005</x:v>
      </x:c>
      <x:c r="M8" s="19" t="str">
        <x:v>Business Owner</x:v>
      </x:c>
      <x:c r="N8" s="19" t="str">
        <x:v>Approved</x:v>
      </x:c>
      <x:c r="O8" s="19" t="str"/>
      <x:c r="P8" s="19" t="str"/>
    </x:row>
    <x:row r="9">
      <x:c r="A9" s="19" t="str">
        <x:v>INT-001</x:v>
      </x:c>
      <x:c r="B9" s="19" t="str">
        <x:v>Integration</x:v>
      </x:c>
      <x:c r="C9" s="19" t="str">
        <x:v>The application shall authenticate users through the enterprise Identity and Access Management service.</x:v>
      </x:c>
      <x:c r="D9" s="19" t="str">
        <x:v>Use enterprise security controls.</x:v>
      </x:c>
      <x:c r="E9" s="19" t="str">
        <x:v>Information Security Lead</x:v>
      </x:c>
      <x:c r="F9" s="19" t="str">
        <x:v>Must</x:v>
      </x:c>
      <x:c r="G9" s="19" t="str">
        <x:v>Yes</x:v>
      </x:c>
      <x:c r="H9" s="19" t="str">
        <x:v>Approved user accounts authenticate successfully and unauthorized accounts are denied.</x:v>
      </x:c>
      <x:c r="I9" s="19" t="str">
        <x:v>Integration Test</x:v>
      </x:c>
      <x:c r="J9" s="19" t="str">
        <x:v>Integration &amp; Data Migration</x:v>
      </x:c>
      <x:c r="K9" s="19" t="str">
        <x:v>DES-INT-001</x:v>
      </x:c>
      <x:c r="L9" s="19" t="str">
        <x:v>INT-001</x:v>
      </x:c>
      <x:c r="M9" s="19" t="str">
        <x:v>Information Security</x:v>
      </x:c>
      <x:c r="N9" s="19" t="str">
        <x:v>Approved</x:v>
      </x:c>
      <x:c r="O9" s="19" t="str"/>
      <x:c r="P9" s="19" t="str">
        <x:v>Integration 1 of 4.</x:v>
      </x:c>
    </x:row>
    <x:row r="10">
      <x:c r="A10" s="19" t="str">
        <x:v>INT-002</x:v>
      </x:c>
      <x:c r="B10" s="19" t="str">
        <x:v>Integration</x:v>
      </x:c>
      <x:c r="C10" s="19" t="str">
        <x:v>The application shall retrieve approved reference entities from the Enterprise Master Data service.</x:v>
      </x:c>
      <x:c r="D10" s="19" t="str">
        <x:v>Maintain consistent enterprise reference data.</x:v>
      </x:c>
      <x:c r="E10" s="19" t="str">
        <x:v>Enterprise Integration Lead</x:v>
      </x:c>
      <x:c r="F10" s="19" t="str">
        <x:v>Must</x:v>
      </x:c>
      <x:c r="G10" s="19" t="str">
        <x:v>Yes</x:v>
      </x:c>
      <x:c r="H10" s="19" t="str">
        <x:v>Required master-data entities are received, mapped and displayed accurately for agreed scenarios.</x:v>
      </x:c>
      <x:c r="I10" s="19" t="str">
        <x:v>Integration Test</x:v>
      </x:c>
      <x:c r="J10" s="19" t="str">
        <x:v>Integration &amp; Data Migration</x:v>
      </x:c>
      <x:c r="K10" s="19" t="str">
        <x:v>DES-INT-002</x:v>
      </x:c>
      <x:c r="L10" s="19" t="str">
        <x:v>INT-002</x:v>
      </x:c>
      <x:c r="M10" s="19" t="str">
        <x:v>Technology Lead</x:v>
      </x:c>
      <x:c r="N10" s="19" t="str">
        <x:v>Approved</x:v>
      </x:c>
      <x:c r="O10" s="19" t="str"/>
      <x:c r="P10" s="19" t="str">
        <x:v>Integration 2 of 4.</x:v>
      </x:c>
    </x:row>
    <x:row r="11">
      <x:c r="A11" s="19" t="str">
        <x:v>INT-003</x:v>
      </x:c>
      <x:c r="B11" s="19" t="str">
        <x:v>Integration</x:v>
      </x:c>
      <x:c r="C11" s="19" t="str">
        <x:v>Approved final records shall be transferred to the enterprise Document / Records Management platform.</x:v>
      </x:c>
      <x:c r="D11" s="19" t="str">
        <x:v>Support records retention and controlled archival.</x:v>
      </x:c>
      <x:c r="E11" s="19" t="str">
        <x:v>Quality / Compliance Lead</x:v>
      </x:c>
      <x:c r="F11" s="19" t="str">
        <x:v>Must</x:v>
      </x:c>
      <x:c r="G11" s="19" t="str">
        <x:v>Yes</x:v>
      </x:c>
      <x:c r="H11" s="19" t="str">
        <x:v>Approved records are transferred with required metadata and can be retrieved from the records platform.</x:v>
      </x:c>
      <x:c r="I11" s="19" t="str">
        <x:v>Integration Test</x:v>
      </x:c>
      <x:c r="J11" s="19" t="str">
        <x:v>Integration &amp; Data Migration</x:v>
      </x:c>
      <x:c r="K11" s="19" t="str">
        <x:v>DES-INT-003</x:v>
      </x:c>
      <x:c r="L11" s="19" t="str">
        <x:v>INT-003</x:v>
      </x:c>
      <x:c r="M11" s="19" t="str">
        <x:v>Quality / Compliance</x:v>
      </x:c>
      <x:c r="N11" s="19" t="str">
        <x:v>Approved</x:v>
      </x:c>
      <x:c r="O11" s="19" t="str"/>
      <x:c r="P11" s="19" t="str">
        <x:v>Integration 3 of 4.</x:v>
      </x:c>
    </x:row>
    <x:row r="12">
      <x:c r="A12" s="19" t="str">
        <x:v>INT-004</x:v>
      </x:c>
      <x:c r="B12" s="19" t="str">
        <x:v>Integration</x:v>
      </x:c>
      <x:c r="C12" s="19" t="str">
        <x:v>The application shall send workflow notifications through the Enterprise Notification service.</x:v>
      </x:c>
      <x:c r="D12" s="19" t="str">
        <x:v>Use approved enterprise communication service.</x:v>
      </x:c>
      <x:c r="E12" s="19" t="str">
        <x:v>Enterprise Integration Lead</x:v>
      </x:c>
      <x:c r="F12" s="19" t="str">
        <x:v>Should</x:v>
      </x:c>
      <x:c r="G12" s="19" t="str">
        <x:v>Yes</x:v>
      </x:c>
      <x:c r="H12" s="19" t="str">
        <x:v>Configured events generate messages through the enterprise notification service without duplicate delivery.</x:v>
      </x:c>
      <x:c r="I12" s="19" t="str">
        <x:v>Integration Test</x:v>
      </x:c>
      <x:c r="J12" s="19" t="str">
        <x:v>Integration &amp; Data Migration</x:v>
      </x:c>
      <x:c r="K12" s="19" t="str">
        <x:v>DES-INT-004</x:v>
      </x:c>
      <x:c r="L12" s="19" t="str">
        <x:v>INT-004</x:v>
      </x:c>
      <x:c r="M12" s="19" t="str">
        <x:v>Technology Lead</x:v>
      </x:c>
      <x:c r="N12" s="19" t="str">
        <x:v>Approved</x:v>
      </x:c>
      <x:c r="O12" s="19" t="str"/>
      <x:c r="P12" s="19" t="str">
        <x:v>Integration 4 of 4.</x:v>
      </x:c>
    </x:row>
    <x:row r="13">
      <x:c r="A13" s="19" t="str">
        <x:v>DAT-001</x:v>
      </x:c>
      <x:c r="B13" s="19" t="str">
        <x:v>Data</x:v>
      </x:c>
      <x:c r="C13" s="19" t="str">
        <x:v>Required active legacy records shall be migrated to the new platform before production go-live.</x:v>
      </x:c>
      <x:c r="D13" s="19" t="str">
        <x:v>Preserve operational continuity.</x:v>
      </x:c>
      <x:c r="E13" s="19" t="str">
        <x:v>Data Migration Lead</x:v>
      </x:c>
      <x:c r="F13" s="19" t="str">
        <x:v>Must</x:v>
      </x:c>
      <x:c r="G13" s="19" t="str">
        <x:v>Yes</x:v>
      </x:c>
      <x:c r="H13" s="19" t="str">
        <x:v>100% of approved active records are migrated or formally exceptioned with business approval.</x:v>
      </x:c>
      <x:c r="I13" s="19" t="str">
        <x:v>Migration Reconciliation</x:v>
      </x:c>
      <x:c r="J13" s="19" t="str">
        <x:v>Integration &amp; Data Migration</x:v>
      </x:c>
      <x:c r="K13" s="19" t="str">
        <x:v>DES-DAT-001</x:v>
      </x:c>
      <x:c r="L13" s="19" t="str">
        <x:v>MIG-001</x:v>
      </x:c>
      <x:c r="M13" s="19" t="str">
        <x:v>Business Owner</x:v>
      </x:c>
      <x:c r="N13" s="19" t="str">
        <x:v>Approved</x:v>
      </x:c>
      <x:c r="O13" s="19" t="str"/>
      <x:c r="P13" s="19" t="str"/>
    </x:row>
    <x:row r="14">
      <x:c r="A14" s="19" t="str">
        <x:v>DAT-002</x:v>
      </x:c>
      <x:c r="B14" s="19" t="str">
        <x:v>Data</x:v>
      </x:c>
      <x:c r="C14" s="19" t="str">
        <x:v>Historical records within the approved retention window shall be migrated or made accessible through the approved archival approach.</x:v>
      </x:c>
      <x:c r="D14" s="19" t="str">
        <x:v>Meet operational and retention needs.</x:v>
      </x:c>
      <x:c r="E14" s="19" t="str">
        <x:v>Data Migration Lead</x:v>
      </x:c>
      <x:c r="F14" s="19" t="str">
        <x:v>Must</x:v>
      </x:c>
      <x:c r="G14" s="19" t="str">
        <x:v>Yes</x:v>
      </x:c>
      <x:c r="H14" s="19" t="str">
        <x:v>Historical records within agreed scope are reconciled against approved source control totals or accessible via approved archive.</x:v>
      </x:c>
      <x:c r="I14" s="19" t="str">
        <x:v>Migration Reconciliation</x:v>
      </x:c>
      <x:c r="J14" s="19" t="str">
        <x:v>Integration &amp; Data Migration</x:v>
      </x:c>
      <x:c r="K14" s="19" t="str">
        <x:v>DES-DAT-002</x:v>
      </x:c>
      <x:c r="L14" s="19" t="str">
        <x:v>MIG-002</x:v>
      </x:c>
      <x:c r="M14" s="19" t="str">
        <x:v>Quality / Compliance</x:v>
      </x:c>
      <x:c r="N14" s="19" t="str">
        <x:v>Approved</x:v>
      </x:c>
      <x:c r="O14" s="19" t="str"/>
      <x:c r="P14" s="19" t="str"/>
    </x:row>
    <x:row r="15">
      <x:c r="A15" s="19" t="str">
        <x:v>DAT-003</x:v>
      </x:c>
      <x:c r="B15" s="19" t="str">
        <x:v>Data</x:v>
      </x:c>
      <x:c r="C15" s="19" t="str">
        <x:v>Migration shall include documented mapping, transformation and reconciliation rules.</x:v>
      </x:c>
      <x:c r="D15" s="19" t="str">
        <x:v>Provide controlled, repeatable migration.</x:v>
      </x:c>
      <x:c r="E15" s="19" t="str">
        <x:v>Data Migration Lead</x:v>
      </x:c>
      <x:c r="F15" s="19" t="str">
        <x:v>Must</x:v>
      </x:c>
      <x:c r="G15" s="19" t="str">
        <x:v>Yes</x:v>
      </x:c>
      <x:c r="H15" s="19" t="str">
        <x:v>All migrated fields have approved mapping rules and reconciliation evidence for production migration.</x:v>
      </x:c>
      <x:c r="I15" s="19" t="str">
        <x:v>Document Review</x:v>
      </x:c>
      <x:c r="J15" s="19" t="str">
        <x:v>Integration &amp; Data Migration</x:v>
      </x:c>
      <x:c r="K15" s="19" t="str">
        <x:v>DES-DAT-003</x:v>
      </x:c>
      <x:c r="L15" s="19" t="str">
        <x:v>DOC-003</x:v>
      </x:c>
      <x:c r="M15" s="19" t="str">
        <x:v>Technology Lead</x:v>
      </x:c>
      <x:c r="N15" s="19" t="str">
        <x:v>Approved</x:v>
      </x:c>
      <x:c r="O15" s="19" t="str"/>
      <x:c r="P15" s="19" t="str"/>
    </x:row>
    <x:row r="16">
      <x:c r="A16" s="19" t="str">
        <x:v>REG-001</x:v>
      </x:c>
      <x:c r="B16" s="19" t="str">
        <x:v>Regulatory</x:v>
      </x:c>
      <x:c r="C16" s="19" t="str">
        <x:v>Requirements, design, testing and acceptance evidence shall be traceable for designated regulated requirements.</x:v>
      </x:c>
      <x:c r="D16" s="19" t="str">
        <x:v>Maintain validation traceability.</x:v>
      </x:c>
      <x:c r="E16" s="19" t="str">
        <x:v>Quality / Compliance Lead</x:v>
      </x:c>
      <x:c r="F16" s="19" t="str">
        <x:v>Must</x:v>
      </x:c>
      <x:c r="G16" s="19" t="str">
        <x:v>Yes</x:v>
      </x:c>
      <x:c r="H16" s="19" t="str">
        <x:v>Each regulated requirement has linked design and verification evidence with approved status.</x:v>
      </x:c>
      <x:c r="I16" s="19" t="str">
        <x:v>Validation Test</x:v>
      </x:c>
      <x:c r="J16" s="19" t="str">
        <x:v>Validation &amp; Deployment</x:v>
      </x:c>
      <x:c r="K16" s="19" t="str">
        <x:v>VAL-PLAN-001</x:v>
      </x:c>
      <x:c r="L16" s="19" t="str">
        <x:v>VAL-001</x:v>
      </x:c>
      <x:c r="M16" s="19" t="str">
        <x:v>Quality / Compliance</x:v>
      </x:c>
      <x:c r="N16" s="19" t="str">
        <x:v>Approved</x:v>
      </x:c>
      <x:c r="O16" s="19" t="str"/>
      <x:c r="P16" s="19" t="str"/>
    </x:row>
    <x:row r="17">
      <x:c r="A17" s="19" t="str">
        <x:v>REG-002</x:v>
      </x:c>
      <x:c r="B17" s="19" t="str">
        <x:v>Regulatory</x:v>
      </x:c>
      <x:c r="C17" s="19" t="str">
        <x:v>Project validation documentation shall be reviewed and approved by the designated Quality / Compliance authority before release.</x:v>
      </x:c>
      <x:c r="D17" s="19" t="str">
        <x:v>Meet regulated release controls.</x:v>
      </x:c>
      <x:c r="E17" s="19" t="str">
        <x:v>Quality / Compliance Lead</x:v>
      </x:c>
      <x:c r="F17" s="19" t="str">
        <x:v>Must</x:v>
      </x:c>
      <x:c r="G17" s="19" t="str">
        <x:v>Yes</x:v>
      </x:c>
      <x:c r="H17" s="19" t="str">
        <x:v>All mandatory validation deliverables have recorded approval before production readiness approval.</x:v>
      </x:c>
      <x:c r="I17" s="19" t="str">
        <x:v>Document Review</x:v>
      </x:c>
      <x:c r="J17" s="19" t="str">
        <x:v>Validation &amp; Deployment</x:v>
      </x:c>
      <x:c r="K17" s="19" t="str">
        <x:v>VAL-PLAN-002</x:v>
      </x:c>
      <x:c r="L17" s="19" t="str">
        <x:v>DOC-002</x:v>
      </x:c>
      <x:c r="M17" s="19" t="str">
        <x:v>Quality / Compliance</x:v>
      </x:c>
      <x:c r="N17" s="19" t="str">
        <x:v>Approved</x:v>
      </x:c>
      <x:c r="O17" s="19" t="str"/>
      <x:c r="P17" s="19" t="str"/>
    </x:row>
    <x:row r="18">
      <x:c r="A18" s="19" t="str">
        <x:v>SEC-001</x:v>
      </x:c>
      <x:c r="B18" s="19" t="str">
        <x:v>Security</x:v>
      </x:c>
      <x:c r="C18" s="19" t="str">
        <x:v>Access shall be role-based and aligned to least-privilege principles.</x:v>
      </x:c>
      <x:c r="D18" s="19" t="str">
        <x:v>Reduce unauthorized access risk.</x:v>
      </x:c>
      <x:c r="E18" s="19" t="str">
        <x:v>Information Security Lead</x:v>
      </x:c>
      <x:c r="F18" s="19" t="str">
        <x:v>Must</x:v>
      </x:c>
      <x:c r="G18" s="19" t="str">
        <x:v>Yes</x:v>
      </x:c>
      <x:c r="H18" s="19" t="str">
        <x:v>Configured roles permit only approved actions and segregation conflicts identified in the access matrix are resolved.</x:v>
      </x:c>
      <x:c r="I18" s="19" t="str">
        <x:v>Security Test</x:v>
      </x:c>
      <x:c r="J18" s="19" t="str">
        <x:v>Application Development</x:v>
      </x:c>
      <x:c r="K18" s="19" t="str">
        <x:v>DES-SEC-001</x:v>
      </x:c>
      <x:c r="L18" s="19" t="str">
        <x:v>SEC-001</x:v>
      </x:c>
      <x:c r="M18" s="19" t="str">
        <x:v>Information Security</x:v>
      </x:c>
      <x:c r="N18" s="19" t="str">
        <x:v>Approved</x:v>
      </x:c>
      <x:c r="O18" s="19" t="str"/>
      <x:c r="P18" s="19" t="str"/>
    </x:row>
    <x:row r="19">
      <x:c r="A19" s="19" t="str">
        <x:v>SEC-002</x:v>
      </x:c>
      <x:c r="B19" s="19" t="str">
        <x:v>Security</x:v>
      </x:c>
      <x:c r="C19" s="19" t="str">
        <x:v>Sensitive data shall be encrypted in transit using approved enterprise security standards.</x:v>
      </x:c>
      <x:c r="D19" s="19" t="str">
        <x:v>Protect sensitive data.</x:v>
      </x:c>
      <x:c r="E19" s="19" t="str">
        <x:v>Information Security Lead</x:v>
      </x:c>
      <x:c r="F19" s="19" t="str">
        <x:v>Must</x:v>
      </x:c>
      <x:c r="G19" s="19" t="str">
        <x:v>Yes</x:v>
      </x:c>
      <x:c r="H19" s="19" t="str">
        <x:v>Security assessment confirms approved encryption protocol for all in-scope network communication.</x:v>
      </x:c>
      <x:c r="I19" s="19" t="str">
        <x:v>Security Test</x:v>
      </x:c>
      <x:c r="J19" s="19" t="str">
        <x:v>Application Development</x:v>
      </x:c>
      <x:c r="K19" s="19" t="str">
        <x:v>DES-SEC-003</x:v>
      </x:c>
      <x:c r="L19" s="19" t="str">
        <x:v>SEC-002</x:v>
      </x:c>
      <x:c r="M19" s="19" t="str">
        <x:v>Information Security</x:v>
      </x:c>
      <x:c r="N19" s="19" t="str">
        <x:v>Approved</x:v>
      </x:c>
      <x:c r="O19" s="19" t="str"/>
      <x:c r="P19" s="19" t="str"/>
    </x:row>
    <x:row r="20">
      <x:c r="A20" s="19" t="str">
        <x:v>SEC-003</x:v>
      </x:c>
      <x:c r="B20" s="19" t="str">
        <x:v>Security</x:v>
      </x:c>
      <x:c r="C20" s="19" t="str">
        <x:v>The solution shall meet enterprise vulnerability assessment requirements before production release.</x:v>
      </x:c>
      <x:c r="D20" s="19" t="str">
        <x:v>Reduce exploitable security risk.</x:v>
      </x:c>
      <x:c r="E20" s="19" t="str">
        <x:v>Information Security Lead</x:v>
      </x:c>
      <x:c r="F20" s="19" t="str">
        <x:v>Must</x:v>
      </x:c>
      <x:c r="G20" s="19" t="str">
        <x:v>Yes</x:v>
      </x:c>
      <x:c r="H20" s="19" t="str">
        <x:v>No open critical vulnerabilities and all high vulnerabilities have approved disposition before go-live.</x:v>
      </x:c>
      <x:c r="I20" s="19" t="str">
        <x:v>Security Test</x:v>
      </x:c>
      <x:c r="J20" s="19" t="str">
        <x:v>Validation &amp; Deployment</x:v>
      </x:c>
      <x:c r="K20" s="19" t="str">
        <x:v>DES-SEC-004</x:v>
      </x:c>
      <x:c r="L20" s="19" t="str">
        <x:v>SEC-003</x:v>
      </x:c>
      <x:c r="M20" s="19" t="str">
        <x:v>Information Security</x:v>
      </x:c>
      <x:c r="N20" s="19" t="str">
        <x:v>Approved</x:v>
      </x:c>
      <x:c r="O20" s="19" t="str"/>
      <x:c r="P20" s="19" t="str"/>
    </x:row>
    <x:row r="21">
      <x:c r="A21" s="19" t="str">
        <x:v>NFR-001</x:v>
      </x:c>
      <x:c r="B21" s="19" t="str">
        <x:v>Non-Functional</x:v>
      </x:c>
      <x:c r="C21" s="19" t="str">
        <x:v>The application shall support 500 concurrent users under the approved production workload profile.</x:v>
      </x:c>
      <x:c r="D21" s="19" t="str">
        <x:v>Ensure expected operating capacity.</x:v>
      </x:c>
      <x:c r="E21" s="19" t="str">
        <x:v>Technology Lead</x:v>
      </x:c>
      <x:c r="F21" s="19" t="str">
        <x:v>Should</x:v>
      </x:c>
      <x:c r="G21" s="19" t="str">
        <x:v>Yes</x:v>
      </x:c>
      <x:c r="H21" s="19" t="str">
        <x:v>Performance test supports 500 concurrent users without breaching approved response-time thresholds.</x:v>
      </x:c>
      <x:c r="I21" s="19" t="str">
        <x:v>Performance Test</x:v>
      </x:c>
      <x:c r="J21" s="19" t="str">
        <x:v>Validation &amp; Deployment</x:v>
      </x:c>
      <x:c r="K21" s="19" t="str">
        <x:v>DES-NFR-001</x:v>
      </x:c>
      <x:c r="L21" s="19" t="str">
        <x:v>PERF-001</x:v>
      </x:c>
      <x:c r="M21" s="19" t="str">
        <x:v>Technology Lead</x:v>
      </x:c>
      <x:c r="N21" s="19" t="str">
        <x:v>Approved</x:v>
      </x:c>
      <x:c r="O21" s="19" t="str"/>
      <x:c r="P21" s="19" t="str">
        <x:v>Synthetic capacity assumption.</x:v>
      </x:c>
    </x:row>
    <x:row r="22">
      <x:c r="A22" s="19" t="str">
        <x:v>NFR-002</x:v>
      </x:c>
      <x:c r="B22" s="19" t="str">
        <x:v>Non-Functional</x:v>
      </x:c>
      <x:c r="C22" s="19" t="str">
        <x:v>95% of standard interactive transactions shall complete within 3 seconds under normal operating load.</x:v>
      </x:c>
      <x:c r="D22" s="19" t="str">
        <x:v>Provide acceptable user experience.</x:v>
      </x:c>
      <x:c r="E22" s="19" t="str">
        <x:v>Technology Lead</x:v>
      </x:c>
      <x:c r="F22" s="19" t="str">
        <x:v>Should</x:v>
      </x:c>
      <x:c r="G22" s="19" t="str">
        <x:v>Yes</x:v>
      </x:c>
      <x:c r="H22" s="19" t="str">
        <x:v>Performance results show at least 95% of designated transactions complete within 3 seconds.</x:v>
      </x:c>
      <x:c r="I22" s="19" t="str">
        <x:v>Performance Test</x:v>
      </x:c>
      <x:c r="J22" s="19" t="str">
        <x:v>Validation &amp; Deployment</x:v>
      </x:c>
      <x:c r="K22" s="19" t="str">
        <x:v>DES-NFR-002</x:v>
      </x:c>
      <x:c r="L22" s="19" t="str">
        <x:v>PERF-002</x:v>
      </x:c>
      <x:c r="M22" s="19" t="str">
        <x:v>Technology Lead</x:v>
      </x:c>
      <x:c r="N22" s="19" t="str">
        <x:v>Approved</x:v>
      </x:c>
      <x:c r="O22" s="19" t="str"/>
      <x:c r="P22" s="19" t="str"/>
    </x:row>
    <x:row r="23">
      <x:c r="A23" s="19" t="str">
        <x:v>NFR-003</x:v>
      </x:c>
      <x:c r="B23" s="19" t="str">
        <x:v>Non-Functional</x:v>
      </x:c>
      <x:c r="C23" s="19" t="str">
        <x:v>The application shall achieve the enterprise availability target of 99.5% during supported business hours, excluding approved maintenance.</x:v>
      </x:c>
      <x:c r="D23" s="19" t="str">
        <x:v>Support operational continuity.</x:v>
      </x:c>
      <x:c r="E23" s="19" t="str">
        <x:v>Operations Lead</x:v>
      </x:c>
      <x:c r="F23" s="19" t="str">
        <x:v>Should</x:v>
      </x:c>
      <x:c r="G23" s="19" t="str">
        <x:v>Yes</x:v>
      </x:c>
      <x:c r="H23" s="19" t="str">
        <x:v>Production design and operational plan demonstrate controls supporting the 99.5% target.</x:v>
      </x:c>
      <x:c r="I23" s="19" t="str">
        <x:v>Document Review</x:v>
      </x:c>
      <x:c r="J23" s="19" t="str">
        <x:v>Validation &amp; Deployment</x:v>
      </x:c>
      <x:c r="K23" s="19" t="str">
        <x:v>DES-NFR-003</x:v>
      </x:c>
      <x:c r="L23" s="19" t="str">
        <x:v>DOC-006</x:v>
      </x:c>
      <x:c r="M23" s="19" t="str">
        <x:v>Operations Lead</x:v>
      </x:c>
      <x:c r="N23" s="19" t="str">
        <x:v>Approved</x:v>
      </x:c>
      <x:c r="O23" s="19" t="str"/>
      <x:c r="P23" s="19" t="str">
        <x:v>Target is simulated.</x:v>
      </x:c>
    </x:row>
    <x:row r="24">
      <x:c r="A24" s="19" t="str">
        <x:v>OPS-001</x:v>
      </x:c>
      <x:c r="B24" s="19" t="str">
        <x:v>Operational</x:v>
      </x:c>
      <x:c r="C24" s="19" t="str">
        <x:v>Production monitoring shall provide alerts for critical application and integration failures.</x:v>
      </x:c>
      <x:c r="D24" s="19" t="str">
        <x:v>Enable timely incident response.</x:v>
      </x:c>
      <x:c r="E24" s="19" t="str">
        <x:v>Operations Lead</x:v>
      </x:c>
      <x:c r="F24" s="19" t="str">
        <x:v>Must</x:v>
      </x:c>
      <x:c r="G24" s="19" t="str">
        <x:v>Yes</x:v>
      </x:c>
      <x:c r="H24" s="19" t="str">
        <x:v>Monitoring generates alerts for agreed critical failure scenarios and routes them to the support queue.</x:v>
      </x:c>
      <x:c r="I24" s="19" t="str">
        <x:v>System Test</x:v>
      </x:c>
      <x:c r="J24" s="19" t="str">
        <x:v>Validation &amp; Deployment</x:v>
      </x:c>
      <x:c r="K24" s="19" t="str">
        <x:v>DES-OPS-001</x:v>
      </x:c>
      <x:c r="L24" s="19" t="str">
        <x:v>OPS-001</x:v>
      </x:c>
      <x:c r="M24" s="19" t="str">
        <x:v>Operations Lead</x:v>
      </x:c>
      <x:c r="N24" s="19" t="str">
        <x:v>Approved</x:v>
      </x:c>
      <x:c r="O24" s="19" t="str"/>
      <x:c r="P24" s="19" t="str"/>
    </x:row>
    <x:row r="25">
      <x:c r="A25" s="19" t="str">
        <x:v>OPS-002</x:v>
      </x:c>
      <x:c r="B25" s="19" t="str">
        <x:v>Operational</x:v>
      </x:c>
      <x:c r="C25" s="19" t="str">
        <x:v>Support documentation shall define known errors, escalation paths, support ownership and recovery procedures.</x:v>
      </x:c>
      <x:c r="D25" s="19" t="str">
        <x:v>Enable BAU support transition.</x:v>
      </x:c>
      <x:c r="E25" s="19" t="str">
        <x:v>Operations Lead</x:v>
      </x:c>
      <x:c r="F25" s="19" t="str">
        <x:v>Must</x:v>
      </x:c>
      <x:c r="G25" s="19" t="str">
        <x:v>Yes</x:v>
      </x:c>
      <x:c r="H25" s="19" t="str">
        <x:v>Operations Lead approves the support runbook before hypercare exit.</x:v>
      </x:c>
      <x:c r="I25" s="19" t="str">
        <x:v>Document Review</x:v>
      </x:c>
      <x:c r="J25" s="19" t="str">
        <x:v>Validation &amp; Deployment</x:v>
      </x:c>
      <x:c r="K25" s="19" t="str">
        <x:v>DES-OPS-002</x:v>
      </x:c>
      <x:c r="L25" s="19" t="str">
        <x:v>DOC-007</x:v>
      </x:c>
      <x:c r="M25" s="19" t="str">
        <x:v>Operations Lead</x:v>
      </x:c>
      <x:c r="N25" s="19" t="str">
        <x:v>Approved</x:v>
      </x:c>
      <x:c r="O25" s="19" t="str"/>
      <x:c r="P25" s="19" t="str"/>
    </x:row>
    <x:row r="26">
      <x:c r="A26" s="19" t="str">
        <x:v>OPS-003</x:v>
      </x:c>
      <x:c r="B26" s="19" t="str">
        <x:v>Operational</x:v>
      </x:c>
      <x:c r="C26" s="19" t="str">
        <x:v>A tested rollback approach shall be available before production cutover.</x:v>
      </x:c>
      <x:c r="D26" s="19" t="str">
        <x:v>Reduce deployment risk.</x:v>
      </x:c>
      <x:c r="E26" s="19" t="str">
        <x:v>Release Lead</x:v>
      </x:c>
      <x:c r="F26" s="19" t="str">
        <x:v>Must</x:v>
      </x:c>
      <x:c r="G26" s="19" t="str">
        <x:v>Yes</x:v>
      </x:c>
      <x:c r="H26" s="19" t="str">
        <x:v>Rollback decision criteria, steps, owners and recovery checkpoints are documented and reviewed in readiness assessment.</x:v>
      </x:c>
      <x:c r="I26" s="19" t="str">
        <x:v>Readiness Review</x:v>
      </x:c>
      <x:c r="J26" s="19" t="str">
        <x:v>Validation &amp; Deployment</x:v>
      </x:c>
      <x:c r="K26" s="19" t="str">
        <x:v>DES-OPS-003</x:v>
      </x:c>
      <x:c r="L26" s="19" t="str">
        <x:v>REL-003</x:v>
      </x:c>
      <x:c r="M26" s="19" t="str">
        <x:v>Technology Lead</x:v>
      </x:c>
      <x:c r="N26" s="19" t="str">
        <x:v>Approved</x:v>
      </x:c>
      <x:c r="O26" s="19" t="str"/>
      <x:c r="P26" s="19" t="str"/>
    </x:row>
    <x:row r="27">
      <x:c r="A27" s="19" t="str">
        <x:v>TRN-001</x:v>
      </x:c>
      <x:c r="B27" s="19" t="str">
        <x:v>Training</x:v>
      </x:c>
      <x:c r="C27" s="19" t="str">
        <x:v>Role-based user guidance shall be available before UAT completion.</x:v>
      </x:c>
      <x:c r="D27" s="19" t="str">
        <x:v>Support user readiness.</x:v>
      </x:c>
      <x:c r="E27" s="19" t="str">
        <x:v>Change &amp; Training Lead</x:v>
      </x:c>
      <x:c r="F27" s="19" t="str">
        <x:v>Should</x:v>
      </x:c>
      <x:c r="G27" s="19" t="str">
        <x:v>Yes</x:v>
      </x:c>
      <x:c r="H27" s="19" t="str">
        <x:v>Approved guidance exists for each identified user group and is available to UAT participants.</x:v>
      </x:c>
      <x:c r="I27" s="19" t="str">
        <x:v>Document Review</x:v>
      </x:c>
      <x:c r="J27" s="19" t="str">
        <x:v>Validation &amp; Deployment</x:v>
      </x:c>
      <x:c r="K27" s="19" t="str">
        <x:v>TRN-001</x:v>
      </x:c>
      <x:c r="L27" s="19" t="str">
        <x:v>DOC-008</x:v>
      </x:c>
      <x:c r="M27" s="19" t="str">
        <x:v>Business Owner</x:v>
      </x:c>
      <x:c r="N27" s="19" t="str">
        <x:v>Approved</x:v>
      </x:c>
      <x:c r="O27" s="19" t="str"/>
      <x:c r="P27" s="19" t="str"/>
    </x:row>
    <x:row r="28">
      <x:c r="A28" s="19" t="str">
        <x:v>TRN-002</x:v>
      </x:c>
      <x:c r="B28" s="19" t="str">
        <x:v>Training</x:v>
      </x:c>
      <x:c r="C28" s="19" t="str">
        <x:v>Training shall be completed for at least 95% of identified priority users before go-live, with an approved plan for remaining users.</x:v>
      </x:c>
      <x:c r="D28" s="19" t="str">
        <x:v>Support deployment readiness.</x:v>
      </x:c>
      <x:c r="E28" s="19" t="str">
        <x:v>Change &amp; Training Lead</x:v>
      </x:c>
      <x:c r="F28" s="19" t="str">
        <x:v>Should</x:v>
      </x:c>
      <x:c r="G28" s="19" t="str">
        <x:v>Yes</x:v>
      </x:c>
      <x:c r="H28" s="19" t="str">
        <x:v>Training records show ≥95% completion for priority users or documented exception approved by Business Owner.</x:v>
      </x:c>
      <x:c r="I28" s="19" t="str">
        <x:v>Readiness Review</x:v>
      </x:c>
      <x:c r="J28" s="19" t="str">
        <x:v>Validation &amp; Deployment</x:v>
      </x:c>
      <x:c r="K28" s="19" t="str">
        <x:v>TRN-002</x:v>
      </x:c>
      <x:c r="L28" s="19" t="str">
        <x:v>REL-004</x:v>
      </x:c>
      <x:c r="M28" s="19" t="str">
        <x:v>Business Owner</x:v>
      </x:c>
      <x:c r="N28" s="19" t="str">
        <x:v>Approved</x:v>
      </x:c>
      <x:c r="O28" s="19" t="str"/>
      <x:c r="P28" s="19" t="str">
        <x:v>Synthetic threshold.</x:v>
      </x:c>
    </x:row>
    <x:row r="29">
      <x:c r="A29" s="19" t="str">
        <x:v>BUS-003</x:v>
      </x:c>
      <x:c r="B29" s="19" t="str">
        <x:v>Business</x:v>
      </x:c>
      <x:c r="C29" s="19" t="str">
        <x:v>The solution shall support regional use across India, the US, the UK, and approved APAC locations within the defined deployment scope.</x:v>
      </x:c>
      <x:c r="D29" s="19" t="str">
        <x:v>Enable multi-region business adoption.</x:v>
      </x:c>
      <x:c r="E29" s="19" t="str">
        <x:v>Business Owner</x:v>
      </x:c>
      <x:c r="F29" s="19" t="str">
        <x:v>Must</x:v>
      </x:c>
      <x:c r="G29" s="19" t="str">
        <x:v>Yes</x:v>
      </x:c>
      <x:c r="H29" s="19" t="str">
        <x:v>UAT confirms approved workflows operate for representative users from each in-scope region.</x:v>
      </x:c>
      <x:c r="I29" s="19" t="str">
        <x:v>UAT</x:v>
      </x:c>
      <x:c r="J29" s="19" t="str">
        <x:v>Application Development</x:v>
      </x:c>
      <x:c r="K29" s="19" t="str">
        <x:v>DES-APP-006</x:v>
      </x:c>
      <x:c r="L29" s="19" t="str">
        <x:v>UAT-006</x:v>
      </x:c>
      <x:c r="M29" s="19" t="str">
        <x:v>Business Owner</x:v>
      </x:c>
      <x:c r="N29" s="19" t="str">
        <x:v>Approved</x:v>
      </x:c>
      <x:c r="O29" s="19" t="str"/>
      <x:c r="P29" s="19" t="str"/>
    </x:row>
  </x:sheetData>
  <x:conditionalFormatting sqref="N2:N200">
    <x:cfRule type="expression" dxfId="0" priority="1">
      <x:formula>N2="Approved"</x:formula>
    </x:cfRule>
  </x:conditionalFormatting>
  <x:conditionalFormatting sqref="F2:F200">
    <x:cfRule type="expression" dxfId="1" priority="2">
      <x:formula>F2="Must"</x:formula>
    </x:cfRule>
  </x:conditionalFormatting>
  <x:dataValidations count="6">
    <x:dataValidation type="list" sqref="B2:B200">
      <x:formula1>Lists!$A$2:$A$10</x:formula1>
    </x:dataValidation>
    <x:dataValidation type="list" sqref="F2:F200">
      <x:formula1>Lists!$B$2:$B$4</x:formula1>
    </x:dataValidation>
    <x:dataValidation type="list" sqref="I2:I200">
      <x:formula1>Lists!$C$2:$C$10</x:formula1>
    </x:dataValidation>
    <x:dataValidation type="list" sqref="N2:N200">
      <x:formula1>Lists!$D$2:$D$6</x:formula1>
    </x:dataValidation>
    <x:dataValidation type="list" sqref="J2:J200">
      <x:formula1>Lists!$E$2:$E$4</x:formula1>
    </x:dataValidation>
    <x:dataValidation type="list" sqref="M2:M200">
      <x:formula1>Lists!$F$2:$F$7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1ef67e989964c9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34" hidden="0" customWidth="1"/>
    <x:col min="4" max="4" width="20" hidden="0" customWidth="1"/>
    <x:col min="6" max="6" width="20" hidden="0" customWidth="1"/>
    <x:col min="7" max="7" width="18" hidden="0" customWidth="1"/>
  </x:cols>
  <x:sheetData>
    <x:row r="1">
      <x:c r="A1" s="18" t="str">
        <x:v>Project Atlas — Traceability Summary</x:v>
      </x:c>
      <x:c r="B1" s="18"/>
      <x:c r="C1" s="18"/>
      <x:c r="D1" s="18"/>
      <x:c r="E1" s="18"/>
      <x:c r="F1" s="18"/>
      <x:c r="G1" s="18"/>
      <x:c r="H1" s="18"/>
    </x:row>
    <x:row r="2">
      <x:c r="A2" s="19"/>
      <x:c r="B2" s="19"/>
      <x:c r="C2" s="19"/>
      <x:c r="D2" s="19"/>
      <x:c r="E2" s="19"/>
      <x:c r="F2" s="19"/>
      <x:c r="G2" s="19"/>
      <x:c r="H2" s="19"/>
    </x:row>
    <x:row r="3">
      <x:c r="A3" s="13" t="str">
        <x:v>Metric</x:v>
      </x:c>
      <x:c r="B3" s="13" t="str">
        <x:v>Formula / Value</x:v>
      </x:c>
      <x:c r="C3" s="13" t="str">
        <x:v>Purpose</x:v>
      </x:c>
      <x:c r="D3" s="13" t="str">
        <x:v>Expected State</x:v>
      </x:c>
      <x:c r="E3" s="19"/>
      <x:c r="F3" s="13" t="str">
        <x:v>Category</x:v>
      </x:c>
      <x:c r="G3" s="13" t="str">
        <x:v>Requirement Count</x:v>
      </x:c>
      <x:c r="H3" s="19"/>
    </x:row>
    <x:row r="4">
      <x:c r="A4" s="19" t="str">
        <x:v>Total Requirements</x:v>
      </x:c>
      <x:c r="B4" s="19" t="n">
        <x:f>COUNTA(Requirements!A2:A200)</x:f>
        <x:v>28</x:v>
      </x:c>
      <x:c r="C4" s="19" t="str">
        <x:v>Requirements recorded</x:v>
      </x:c>
      <x:c r="D4" s="19" t="str">
        <x:v>28</x:v>
      </x:c>
      <x:c r="E4" s="19"/>
      <x:c r="F4" s="19" t="str">
        <x:v>Business</x:v>
      </x:c>
      <x:c r="G4" s="19" t="n">
        <x:f>COUNTIF(Requirements!B2:B200,"Business")</x:f>
        <x:v>3</x:v>
      </x:c>
      <x:c r="H4" s="19"/>
    </x:row>
    <x:row r="5">
      <x:c r="A5" s="19" t="str">
        <x:v>Approved</x:v>
      </x:c>
      <x:c r="B5" s="19" t="n">
        <x:f>COUNTIF(Requirements!N2:N200,"Approved")</x:f>
        <x:v>28</x:v>
      </x:c>
      <x:c r="C5" s="19" t="str">
        <x:v>Approved baseline requirements</x:v>
      </x:c>
      <x:c r="D5" s="19" t="str">
        <x:v>28</x:v>
      </x:c>
      <x:c r="E5" s="19"/>
      <x:c r="F5" s="19" t="str">
        <x:v>Functional</x:v>
      </x:c>
      <x:c r="G5" s="19" t="n">
        <x:f>COUNTIF(Requirements!B2:B200,"Functional")</x:f>
        <x:v>5</x:v>
      </x:c>
      <x:c r="H5" s="19"/>
    </x:row>
    <x:row r="6">
      <x:c r="A6" s="19" t="str">
        <x:v>Must Priority</x:v>
      </x:c>
      <x:c r="B6" s="19" t="n">
        <x:f>COUNTIF(Requirements!F2:F200,"Must")</x:f>
        <x:v>19</x:v>
      </x:c>
      <x:c r="C6" s="19" t="str">
        <x:v>Critical requirements</x:v>
      </x:c>
      <x:c r="D6" s="19" t="str">
        <x:v>Monitor</x:v>
      </x:c>
      <x:c r="E6" s="19"/>
      <x:c r="F6" s="19" t="str">
        <x:v>Integration</x:v>
      </x:c>
      <x:c r="G6" s="19" t="n">
        <x:f>COUNTIF(Requirements!B2:B200,"Integration")</x:f>
        <x:v>4</x:v>
      </x:c>
      <x:c r="H6" s="19"/>
    </x:row>
    <x:row r="7">
      <x:c r="A7" s="19" t="str">
        <x:v>Should Priority</x:v>
      </x:c>
      <x:c r="B7" s="19" t="n">
        <x:f>COUNTIF(Requirements!F2:F200,"Should")</x:f>
        <x:v>9</x:v>
      </x:c>
      <x:c r="C7" s="19" t="str">
        <x:v>Important requirements</x:v>
      </x:c>
      <x:c r="D7" s="19" t="str">
        <x:v>Monitor</x:v>
      </x:c>
      <x:c r="E7" s="19"/>
      <x:c r="F7" s="19" t="str">
        <x:v>Data</x:v>
      </x:c>
      <x:c r="G7" s="19" t="n">
        <x:f>COUNTIF(Requirements!B2:B200,"Data")</x:f>
        <x:v>3</x:v>
      </x:c>
      <x:c r="H7" s="19"/>
    </x:row>
    <x:row r="8">
      <x:c r="A8" s="19" t="str">
        <x:v>Business / Functional</x:v>
      </x:c>
      <x:c r="B8" s="19" t="n">
        <x:f>COUNTIF(Requirements!B2:B200,"Business")+COUNTIF(Requirements!B2:B200,"Functional")</x:f>
        <x:v>8</x:v>
      </x:c>
      <x:c r="C8" s="19" t="str">
        <x:v>Business-facing requirements</x:v>
      </x:c>
      <x:c r="D8" s="19" t="str">
        <x:v>Monitor</x:v>
      </x:c>
      <x:c r="E8" s="19"/>
      <x:c r="F8" s="19" t="str">
        <x:v>Regulatory</x:v>
      </x:c>
      <x:c r="G8" s="19" t="n">
        <x:f>COUNTIF(Requirements!B2:B200,"Regulatory")</x:f>
        <x:v>2</x:v>
      </x:c>
      <x:c r="H8" s="19"/>
    </x:row>
    <x:row r="9">
      <x:c r="A9" s="19" t="str">
        <x:v>Integration / Data</x:v>
      </x:c>
      <x:c r="B9" s="19" t="n">
        <x:f>COUNTIF(Requirements!B2:B200,"Integration")+COUNTIF(Requirements!B2:B200,"Data")</x:f>
        <x:v>7</x:v>
      </x:c>
      <x:c r="C9" s="19" t="str">
        <x:v>Interfaces and migration</x:v>
      </x:c>
      <x:c r="D9" s="19" t="str">
        <x:v>Monitor</x:v>
      </x:c>
      <x:c r="E9" s="19"/>
      <x:c r="F9" s="19" t="str">
        <x:v>Security</x:v>
      </x:c>
      <x:c r="G9" s="19" t="n">
        <x:f>COUNTIF(Requirements!B2:B200,"Security")</x:f>
        <x:v>3</x:v>
      </x:c>
      <x:c r="H9" s="19"/>
    </x:row>
    <x:row r="10">
      <x:c r="A10" s="19" t="str">
        <x:v>Regulatory / Security</x:v>
      </x:c>
      <x:c r="B10" s="19" t="n">
        <x:f>COUNTIF(Requirements!B2:B200,"Regulatory")+COUNTIF(Requirements!B2:B200,"Security")</x:f>
        <x:v>5</x:v>
      </x:c>
      <x:c r="C10" s="19" t="str">
        <x:v>Control-related requirements</x:v>
      </x:c>
      <x:c r="D10" s="19" t="str">
        <x:v>Monitor</x:v>
      </x:c>
      <x:c r="E10" s="19"/>
      <x:c r="F10" s="19" t="str">
        <x:v>Non-Functional</x:v>
      </x:c>
      <x:c r="G10" s="19" t="n">
        <x:f>COUNTIF(Requirements!B2:B200,"Non-Functional")</x:f>
        <x:v>3</x:v>
      </x:c>
      <x:c r="H10" s="19"/>
    </x:row>
    <x:row r="11">
      <x:c r="A11" s="19" t="str">
        <x:v>Requirements with Design Ref</x:v>
      </x:c>
      <x:c r="B11" s="19" t="n">
        <x:f>COUNTIF(Requirements!K2:K200,"&lt;&gt;")</x:f>
        <x:v>28</x:v>
      </x:c>
      <x:c r="C11" s="19" t="str">
        <x:v>Design traceability</x:v>
      </x:c>
      <x:c r="D11" s="19" t="str">
        <x:v>100%</x:v>
      </x:c>
      <x:c r="E11" s="19"/>
      <x:c r="F11" s="19" t="str">
        <x:v>Operational</x:v>
      </x:c>
      <x:c r="G11" s="19" t="n">
        <x:f>COUNTIF(Requirements!B2:B200,"Operational")</x:f>
        <x:v>3</x:v>
      </x:c>
      <x:c r="H11" s="19"/>
    </x:row>
    <x:row r="12">
      <x:c r="A12" s="19" t="str">
        <x:v>Requirements with Test ID</x:v>
      </x:c>
      <x:c r="B12" s="19" t="n">
        <x:f>COUNTIF(Requirements!L2:L200,"&lt;&gt;")</x:f>
        <x:v>28</x:v>
      </x:c>
      <x:c r="C12" s="19" t="str">
        <x:v>Verification traceability</x:v>
      </x:c>
      <x:c r="D12" s="19" t="str">
        <x:v>100%</x:v>
      </x:c>
      <x:c r="E12" s="19"/>
      <x:c r="F12" s="19" t="str">
        <x:v>Training</x:v>
      </x:c>
      <x:c r="G12" s="19" t="n">
        <x:f>COUNTIF(Requirements!B2:B200,"Training")</x:f>
        <x:v>2</x:v>
      </x:c>
      <x:c r="H12" s="19"/>
    </x:row>
    <x:row r="13">
      <x:c r="A13" s="19" t="str">
        <x:v>Traceability Coverage</x:v>
      </x:c>
      <x:c r="B13" s="20" t="n">
        <x:f>IF(B4=0,0,MIN(B11,B12)/B4)</x:f>
        <x:v>1</x:v>
      </x:c>
      <x:c r="C13" s="19" t="str">
        <x:v>Minimum design/test coverage</x:v>
      </x:c>
      <x:c r="D13" s="19" t="str">
        <x:v>100%</x:v>
      </x:c>
      <x:c r="E13" s="19"/>
      <x:c r="F13" s="19"/>
      <x:c r="G13" s="19"/>
      <x:c r="H13" s="19"/>
    </x:row>
    <x:row r="14">
      <x:c r="A14" s="19"/>
      <x:c r="B14" s="19"/>
      <x:c r="C14" s="19"/>
      <x:c r="D14" s="19"/>
      <x:c r="E14" s="19"/>
      <x:c r="F14" s="19"/>
      <x:c r="G14" s="19"/>
      <x:c r="H14" s="19"/>
    </x:row>
    <x:row r="15">
      <x:c r="A15" s="19"/>
      <x:c r="B15" s="19"/>
      <x:c r="C15" s="19"/>
      <x:c r="D15" s="19"/>
      <x:c r="E15" s="19"/>
      <x:c r="F15" s="19"/>
      <x:c r="G15" s="19"/>
      <x:c r="H15" s="19"/>
    </x:row>
    <x:row r="16">
      <x:c r="A16" s="19"/>
      <x:c r="B16" s="19"/>
      <x:c r="C16" s="19"/>
      <x:c r="D16" s="19"/>
      <x:c r="E16" s="19"/>
      <x:c r="F16" s="19"/>
      <x:c r="G16" s="19"/>
      <x:c r="H16" s="19"/>
    </x:row>
    <x:row r="17">
      <x:c r="A17" s="19"/>
      <x:c r="B17" s="19"/>
      <x:c r="C17" s="19"/>
      <x:c r="D17" s="19"/>
      <x:c r="E17" s="19"/>
      <x:c r="F17" s="19"/>
      <x:c r="G17" s="19"/>
      <x:c r="H17" s="19"/>
    </x:row>
    <x:row r="18">
      <x:c r="A18" s="19"/>
      <x:c r="B18" s="19"/>
      <x:c r="C18" s="19"/>
      <x:c r="D18" s="19"/>
      <x:c r="E18" s="19"/>
      <x:c r="F18" s="19"/>
      <x:c r="G18" s="19"/>
      <x:c r="H18" s="19"/>
    </x:row>
    <x:row r="19">
      <x:c r="A19" s="19"/>
      <x:c r="B19" s="19"/>
      <x:c r="C19" s="19"/>
      <x:c r="D19" s="19"/>
      <x:c r="E19" s="19"/>
      <x:c r="F19" s="19"/>
      <x:c r="G19" s="19"/>
      <x:c r="H19" s="19"/>
    </x:row>
    <x:row r="20">
      <x:c r="A20" s="19"/>
      <x:c r="B20" s="19"/>
      <x:c r="C20" s="19"/>
      <x:c r="D20" s="19"/>
      <x:c r="E20" s="19"/>
      <x:c r="F20" s="19"/>
      <x:c r="G20" s="19"/>
      <x:c r="H20" s="19"/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</x:cols>
  <x:sheetData>
    <x:row r="1">
      <x:c r="A1" s="13" t="str">
        <x:v>Category</x:v>
      </x:c>
      <x:c r="B1" s="13" t="str">
        <x:v>Priority</x:v>
      </x:c>
      <x:c r="C1" s="13" t="str">
        <x:v>Verification Method</x:v>
      </x:c>
      <x:c r="D1" s="13" t="str">
        <x:v>Status</x:v>
      </x:c>
      <x:c r="E1" s="13" t="str">
        <x:v>Workstream</x:v>
      </x:c>
      <x:c r="F1" s="13" t="str">
        <x:v>Approval Authority</x:v>
      </x:c>
    </x:row>
    <x:row r="2">
      <x:c r="A2" t="str">
        <x:v>Business</x:v>
      </x:c>
      <x:c r="B2" t="str">
        <x:v>Must</x:v>
      </x:c>
      <x:c r="C2" t="str">
        <x:v>UAT</x:v>
      </x:c>
      <x:c r="D2" t="str">
        <x:v>Approved</x:v>
      </x:c>
      <x:c r="E2" t="str">
        <x:v>Application Development</x:v>
      </x:c>
      <x:c r="F2" t="str">
        <x:v>Business Owner</x:v>
      </x:c>
    </x:row>
    <x:row r="3">
      <x:c r="A3" t="str">
        <x:v>Functional</x:v>
      </x:c>
      <x:c r="B3" t="str">
        <x:v>Should</x:v>
      </x:c>
      <x:c r="C3" t="str">
        <x:v>System Test</x:v>
      </x:c>
      <x:c r="D3" t="str">
        <x:v>In Review</x:v>
      </x:c>
      <x:c r="E3" t="str">
        <x:v>Integration &amp; Data Migration</x:v>
      </x:c>
      <x:c r="F3" t="str">
        <x:v>Technology Lead</x:v>
      </x:c>
    </x:row>
    <x:row r="4">
      <x:c r="A4" t="str">
        <x:v>Integration</x:v>
      </x:c>
      <x:c r="B4" t="str">
        <x:v>Could</x:v>
      </x:c>
      <x:c r="C4" t="str">
        <x:v>Integration Test</x:v>
      </x:c>
      <x:c r="D4" t="str">
        <x:v>Draft</x:v>
      </x:c>
      <x:c r="E4" t="str">
        <x:v>Validation &amp; Deployment</x:v>
      </x:c>
      <x:c r="F4" t="str">
        <x:v>Quality / Compliance</x:v>
      </x:c>
    </x:row>
    <x:row r="5">
      <x:c r="A5" t="str">
        <x:v>Data</x:v>
      </x:c>
      <x:c r="B5" t="str"/>
      <x:c r="C5" t="str">
        <x:v>Migration Reconciliation</x:v>
      </x:c>
      <x:c r="D5" t="str">
        <x:v>Deferred</x:v>
      </x:c>
      <x:c r="E5" t="str"/>
      <x:c r="F5" t="str">
        <x:v>Information Security</x:v>
      </x:c>
    </x:row>
    <x:row r="6">
      <x:c r="A6" t="str">
        <x:v>Regulatory</x:v>
      </x:c>
      <x:c r="B6" t="str"/>
      <x:c r="C6" t="str">
        <x:v>Validation Test</x:v>
      </x:c>
      <x:c r="D6" t="str">
        <x:v>Removed</x:v>
      </x:c>
      <x:c r="E6" t="str"/>
      <x:c r="F6" t="str">
        <x:v>Operations Lead</x:v>
      </x:c>
    </x:row>
    <x:row r="7">
      <x:c r="A7" t="str">
        <x:v>Security</x:v>
      </x:c>
      <x:c r="B7" t="str"/>
      <x:c r="C7" t="str">
        <x:v>Security Test</x:v>
      </x:c>
      <x:c r="D7" t="str"/>
      <x:c r="E7" t="str"/>
      <x:c r="F7" t="str">
        <x:v>Steering Committee</x:v>
      </x:c>
    </x:row>
    <x:row r="8">
      <x:c r="A8" t="str">
        <x:v>Non-Functional</x:v>
      </x:c>
      <x:c r="B8" t="str"/>
      <x:c r="C8" t="str">
        <x:v>Performance Test</x:v>
      </x:c>
      <x:c r="D8" t="str"/>
      <x:c r="E8" t="str"/>
      <x:c r="F8" t="str"/>
    </x:row>
    <x:row r="9">
      <x:c r="A9" t="str">
        <x:v>Operational</x:v>
      </x:c>
      <x:c r="B9" t="str"/>
      <x:c r="C9" t="str">
        <x:v>Document Review</x:v>
      </x:c>
      <x:c r="D9" t="str"/>
      <x:c r="E9" t="str"/>
      <x:c r="F9" t="str"/>
    </x:row>
    <x:row r="10">
      <x:c r="A10" t="str">
        <x:v>Training</x:v>
      </x:c>
      <x:c r="B10" t="str"/>
      <x:c r="C10" t="str">
        <x:v>Readiness Review</x:v>
      </x:c>
      <x:c r="D10" t="str"/>
      <x:c r="E10" t="str"/>
      <x:c r="F10" t="str"/>
    </x:row>
  </x:sheetData>
  <x:pageMargins left="0.7" right="0.7" top="0.75" bottom="0.75" header="0.3" footer="0.3"/>
</x:worksheet>
</file>