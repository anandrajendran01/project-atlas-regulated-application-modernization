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c393d7b35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b255ae71b244555"/>
    <x:sheet xmlns:r="http://schemas.openxmlformats.org/officeDocument/2006/relationships" name="Integrated Schedule" sheetId="2" r:id="R5053beb6fb004021"/>
    <x:sheet xmlns:r="http://schemas.openxmlformats.org/officeDocument/2006/relationships" name="Milestones" sheetId="3" r:id="R32e560523a3c4544"/>
    <x:sheet xmlns:r="http://schemas.openxmlformats.org/officeDocument/2006/relationships" name="Gantt" sheetId="4" r:id="R71f00bf48d064459"/>
    <x:sheet xmlns:r="http://schemas.openxmlformats.org/officeDocument/2006/relationships" name="Lists" sheetId="5" r:id="Rf44c00e314734b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%"/>
    <x:numFmt numFmtId="202" formatCode="dd-mmm"/>
  </x:numFmts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202" fontId="0" fillId="0" borderId="1" xfId="0" applyNumberFormat="1" applyFont="1" applyFill="1" applyBorder="1" applyAlignment="1">
      <x:alignment horizontal="center"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b/>
      </x:font>
    </x:dxf>
    <x:dxf>
      <x:font>
        <x:b/>
      </x:font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24b5611a564fe7" /><Relationship Type="http://schemas.openxmlformats.org/officeDocument/2006/relationships/theme" Target="/xl/theme/theme1.xml" Id="R2836415fdb144485" /><Relationship Type="http://schemas.openxmlformats.org/officeDocument/2006/relationships/sharedStrings" Target="/xl/sharedStrings.xml" Id="Re2cf5e7e9491456f" /><Relationship Type="http://schemas.openxmlformats.org/officeDocument/2006/relationships/worksheet" Target="/xl/worksheets/sheet1.xml" Id="R9b255ae71b244555" /><Relationship Type="http://schemas.openxmlformats.org/officeDocument/2006/relationships/worksheet" Target="/xl/worksheets/sheet2.xml" Id="R5053beb6fb004021" /><Relationship Type="http://schemas.openxmlformats.org/officeDocument/2006/relationships/worksheet" Target="/xl/worksheets/sheet3.xml" Id="R32e560523a3c4544" /><Relationship Type="http://schemas.openxmlformats.org/officeDocument/2006/relationships/worksheet" Target="/xl/worksheets/sheet4.xml" Id="R71f00bf48d064459" /><Relationship Type="http://schemas.openxmlformats.org/officeDocument/2006/relationships/worksheet" Target="/xl/worksheets/sheet5.xml" Id="Rf44c00e314734b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a3fadac27c4e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Baseline Milestone Timeline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Baseline Date</c:v>
          </c:tx>
          <c:marker>
            <c:symbol val="none"/>
          </c:marker>
          <c:cat>
            <c:strRef>
              <c:f>'Milestones'!$C$4:$C$15</c:f>
              <c:strCache>
                <c:ptCount val="0"/>
              </c:strCache>
            </c:strRef>
          </c:cat>
          <c:val>
            <c:numRef>
              <c:f>'Milestones'!$D$4:$D$15</c:f>
              <c:numCache>
                <c:formatCode>dd-mmm-yyyy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a3fadac27c4ec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tegratedScheduleTable" displayName="IntegratedScheduleTable" ref="A1:P66" headerRowCount="1" totalsRowCount="0" totalsRowShown="0">
  <x:tableColumns count="16">
    <x:tableColumn id="1" name="Activity ID"/>
    <x:tableColumn id="2" name="WBS ID"/>
    <x:tableColumn id="3" name="Activity / Milestone"/>
    <x:tableColumn id="4" name="Owner"/>
    <x:tableColumn id="5" name="Baseline Start"/>
    <x:tableColumn id="6" name="Baseline Finish"/>
    <x:tableColumn id="7" name="Duration (WD)"/>
    <x:tableColumn id="8" name="Predecessor(s)"/>
    <x:tableColumn id="9" name="Total Float (WD)"/>
    <x:tableColumn id="10" name="Critical?"/>
    <x:tableColumn id="11" name="Status"/>
    <x:tableColumn id="12" name="Type"/>
    <x:tableColumn id="13" name="Baseline % Complete"/>
    <x:tableColumn id="14" name="Forecast Finish"/>
    <x:tableColumn id="15" name="Finish Variance (WD)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lestonesTable" displayName="MilestonesTable" ref="A3:H15" headerRowCount="1" totalsRowCount="0" totalsRowShown="0">
  <x:tableColumns count="8">
    <x:tableColumn id="1" name="Milestone ID"/>
    <x:tableColumn id="2" name="WBS ID"/>
    <x:tableColumn id="3" name="Milestone"/>
    <x:tableColumn id="4" name="Baseline Date"/>
    <x:tableColumn id="5" name="Owner"/>
    <x:tableColumn id="6" name="Predecessor(s)"/>
    <x:tableColumn id="7" name="Critical?"/>
    <x:tableColumn id="8" name="Governance 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375d49b235146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6f0e055dac4f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e997403d4d437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28" hidden="0" customWidth="1"/>
    <x:col min="4" max="4" width="28" hidden="0" customWidth="1"/>
  </x:cols>
  <x:sheetData>
    <x:row r="1">
      <x:c r="A1" s="26" t="str">
        <x:v>Project Atlas — Integrated Project Schedule</x:v>
      </x:c>
      <x:c r="B1" s="26"/>
      <x:c r="C1" s="26"/>
      <x:c r="D1" s="26"/>
      <x:c r="E1" s="26"/>
      <x:c r="F1" s="26"/>
      <x:c r="G1" s="26"/>
      <x:c r="H1" s="26"/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19" t="str">
        <x:v>Project</x:v>
      </x:c>
      <x:c r="B3" s="27" t="str">
        <x:v>Project Atlas</x:v>
      </x:c>
      <x:c r="C3" s="27"/>
      <x:c r="D3" s="27"/>
      <x:c r="E3" s="27"/>
      <x:c r="F3" s="27"/>
      <x:c r="G3" s="27"/>
      <x:c r="H3" s="27"/>
    </x:row>
    <x:row r="4">
      <x:c r="A4" s="19" t="str">
        <x:v>Artifact</x:v>
      </x:c>
      <x:c r="B4" s="27" t="str">
        <x:v>Integrated Project Schedule</x:v>
      </x:c>
      <x:c r="C4" s="27"/>
      <x:c r="D4" s="27"/>
      <x:c r="E4" s="27"/>
      <x:c r="F4" s="27"/>
      <x:c r="G4" s="27"/>
      <x:c r="H4" s="27"/>
    </x:row>
    <x:row r="5">
      <x:c r="A5" s="19" t="str">
        <x:v>Schedule Baseline</x:v>
      </x:c>
      <x:c r="B5" s="27" t="str">
        <x:v>Version 1.0</x:v>
      </x:c>
      <x:c r="C5" s="27"/>
      <x:c r="D5" s="27"/>
      <x:c r="E5" s="27"/>
      <x:c r="F5" s="27"/>
      <x:c r="G5" s="27"/>
      <x:c r="H5" s="27"/>
    </x:row>
    <x:row r="6">
      <x:c r="A6" s="19" t="str">
        <x:v>Baseline Start</x:v>
      </x:c>
      <x:c r="B6" s="28" t="n">
        <x:v>46027</x:v>
      </x:c>
      <x:c r="C6" s="27"/>
      <x:c r="D6" s="27"/>
      <x:c r="E6" s="27"/>
      <x:c r="F6" s="27"/>
      <x:c r="G6" s="27"/>
      <x:c r="H6" s="27"/>
    </x:row>
    <x:row r="7">
      <x:c r="A7" s="19" t="str">
        <x:v>Baseline Finish</x:v>
      </x:c>
      <x:c r="B7" s="28" t="n">
        <x:v>46295</x:v>
      </x:c>
      <x:c r="C7" s="27"/>
      <x:c r="D7" s="27"/>
      <x:c r="E7" s="27"/>
      <x:c r="F7" s="27"/>
      <x:c r="G7" s="27"/>
      <x:c r="H7" s="27"/>
    </x:row>
    <x:row r="8">
      <x:c r="A8" s="19" t="str">
        <x:v>Delivery Model</x:v>
      </x:c>
      <x:c r="B8" s="27" t="str">
        <x:v>Predictive / Waterfall</x:v>
      </x:c>
      <x:c r="C8" s="27"/>
      <x:c r="D8" s="27"/>
      <x:c r="E8" s="27"/>
      <x:c r="F8" s="27"/>
      <x:c r="G8" s="27"/>
      <x:c r="H8" s="27"/>
    </x:row>
    <x:row r="9">
      <x:c r="A9" s="19" t="str">
        <x:v>Baseline Calendar</x:v>
      </x:c>
      <x:c r="B9" s="27" t="str">
        <x:v>Monday–Friday standard business-day calendar</x:v>
      </x:c>
      <x:c r="C9" s="27"/>
      <x:c r="D9" s="27"/>
      <x:c r="E9" s="27"/>
      <x:c r="F9" s="27"/>
      <x:c r="G9" s="27"/>
      <x:c r="H9" s="27"/>
    </x:row>
    <x:row r="10">
      <x:c r="A10" s="19" t="str">
        <x:v>Scope Basis</x:v>
      </x:c>
      <x:c r="B10" s="27" t="str">
        <x:v>Approved Scope Statement + WBS + WBS Dictionary</x:v>
      </x:c>
      <x:c r="C10" s="27"/>
      <x:c r="D10" s="27"/>
      <x:c r="E10" s="27"/>
      <x:c r="F10" s="27"/>
      <x:c r="G10" s="27"/>
      <x:c r="H10" s="27"/>
    </x:row>
    <x:row r="11">
      <x:c r="A11" s="19" t="str">
        <x:v>Schedule Logic</x:v>
      </x:c>
      <x:c r="B11" s="27" t="str">
        <x:v>WBS-linked activities with predecessor relationships and stage-gate milestones</x:v>
      </x:c>
      <x:c r="C11" s="27"/>
      <x:c r="D11" s="27"/>
      <x:c r="E11" s="27"/>
      <x:c r="F11" s="27"/>
      <x:c r="G11" s="27"/>
      <x:c r="H11" s="27"/>
    </x:row>
    <x:row r="12">
      <x:c r="A12" s="19" t="str">
        <x:v>Critical Path</x:v>
      </x:c>
      <x:c r="B12" s="27" t="str">
        <x:v>Zero-float sequence driving current project completion</x:v>
      </x:c>
      <x:c r="C12" s="27"/>
      <x:c r="D12" s="27"/>
      <x:c r="E12" s="27"/>
      <x:c r="F12" s="27"/>
      <x:c r="G12" s="27"/>
      <x:c r="H12" s="27"/>
    </x:row>
    <x:row r="13">
      <x:c r="A13" s="19" t="str">
        <x:v>Schedule Control</x:v>
      </x:c>
      <x:c r="B13" s="27" t="str">
        <x:v>Variance, float, critical path, milestone impact and integrated change control</x:v>
      </x:c>
      <x:c r="C13" s="27"/>
      <x:c r="D13" s="27"/>
      <x:c r="E13" s="27"/>
      <x:c r="F13" s="27"/>
      <x:c r="G13" s="27"/>
      <x:c r="H13" s="27"/>
    </x:row>
    <x:row r="14">
      <x:c r="A14" s="19" t="str">
        <x:v>Portfolio Note</x:v>
      </x:c>
      <x:c r="B14" s="27" t="str">
        <x:v>All dates, durations and dependency data are synthetic.</x:v>
      </x:c>
      <x:c r="C14" s="27"/>
      <x:c r="D14" s="27"/>
      <x:c r="E14" s="27"/>
      <x:c r="F14" s="27"/>
      <x:c r="G14" s="27"/>
      <x:c r="H14" s="27"/>
    </x:row>
    <x:row r="15">
      <x:c r="A15" s="27"/>
      <x:c r="B15" s="27"/>
      <x:c r="C15" s="27"/>
      <x:c r="D15" s="27"/>
      <x:c r="E15" s="27"/>
      <x:c r="F15" s="27"/>
      <x:c r="G15" s="27"/>
      <x:c r="H15" s="27"/>
    </x:row>
    <x:row r="16">
      <x:c r="A16" s="23" t="str">
        <x:v>Schedule KPI</x:v>
      </x:c>
      <x:c r="B16" s="23" t="str">
        <x:v>Value</x:v>
      </x:c>
      <x:c r="C16" s="23" t="str">
        <x:v>Purpose</x:v>
      </x:c>
      <x:c r="D16" s="23" t="str">
        <x:v>Target / Interpretation</x:v>
      </x:c>
      <x:c r="E16" s="27"/>
      <x:c r="F16" s="27"/>
      <x:c r="G16" s="27"/>
      <x:c r="H16" s="27"/>
    </x:row>
    <x:row r="17">
      <x:c r="A17" s="27" t="str">
        <x:v>Total Schedule Items</x:v>
      </x:c>
      <x:c r="B17" s="27" t="n">
        <x:f>COUNTA('Integrated Schedule'!A2:A200)</x:f>
        <x:v>65</x:v>
      </x:c>
      <x:c r="C17" s="27" t="str">
        <x:v>Activities + milestones</x:v>
      </x:c>
      <x:c r="D17" s="27" t="str">
        <x:v>Baseline</x:v>
      </x:c>
      <x:c r="E17" s="27"/>
      <x:c r="F17" s="27"/>
      <x:c r="G17" s="27"/>
      <x:c r="H17" s="27"/>
    </x:row>
    <x:row r="18">
      <x:c r="A18" s="27" t="str">
        <x:v>Milestones</x:v>
      </x:c>
      <x:c r="B18" s="27" t="n">
        <x:f>COUNTIF('Integrated Schedule'!L2:L200,"Milestone")</x:f>
        <x:v>12</x:v>
      </x:c>
      <x:c r="C18" s="27" t="str">
        <x:v>Formal decision / completion points</x:v>
      </x:c>
      <x:c r="D18" s="27" t="str">
        <x:v>Monitor</x:v>
      </x:c>
      <x:c r="E18" s="27"/>
      <x:c r="F18" s="27"/>
      <x:c r="G18" s="27"/>
      <x:c r="H18" s="27"/>
    </x:row>
    <x:row r="19">
      <x:c r="A19" s="27" t="str">
        <x:v>Critical Items</x:v>
      </x:c>
      <x:c r="B19" s="27" t="n">
        <x:f>COUNTIF('Integrated Schedule'!J2:J200,"Yes")</x:f>
        <x:v>37</x:v>
      </x:c>
      <x:c r="C19" s="27" t="str">
        <x:v>Zero-float / critical items</x:v>
      </x:c>
      <x:c r="D19" s="27" t="str">
        <x:v>Monitor closely</x:v>
      </x:c>
      <x:c r="E19" s="27"/>
      <x:c r="F19" s="27"/>
      <x:c r="G19" s="27"/>
      <x:c r="H19" s="27"/>
    </x:row>
    <x:row r="20">
      <x:c r="A20" s="27" t="str">
        <x:v>Baseline Working Days</x:v>
      </x:c>
      <x:c r="B20" s="27" t="n">
        <x:f>NETWORKDAYS(B6,B7)</x:f>
        <x:v>193</x:v>
      </x:c>
      <x:c r="C20" s="27" t="str">
        <x:v>Planned business-day span</x:v>
      </x:c>
      <x:c r="D20" s="27" t="str">
        <x:v>~9 months</x:v>
      </x:c>
      <x:c r="E20" s="27"/>
      <x:c r="F20" s="27"/>
      <x:c r="G20" s="27"/>
      <x:c r="H20" s="27"/>
    </x:row>
    <x:row r="21">
      <x:c r="A21" s="27" t="str">
        <x:v>Baseline Status</x:v>
      </x:c>
      <x:c r="B21" s="27" t="str">
        <x:v>Established</x:v>
      </x:c>
      <x:c r="C21" s="27" t="str">
        <x:v>Schedule version 1.0</x:v>
      </x:c>
      <x:c r="D21" s="27" t="str">
        <x:v>Established</x:v>
      </x:c>
      <x:c r="E21" s="27"/>
      <x:c r="F21" s="27"/>
      <x:c r="G21" s="27"/>
      <x:c r="H21" s="27"/>
    </x:row>
    <x:row r="22">
      <x:c r="A22" s="27" t="str">
        <x:v>Next Dependency</x:v>
      </x:c>
      <x:c r="B22" s="27" t="str">
        <x:v>Resource Plan</x:v>
      </x:c>
      <x:c r="C22" s="27" t="str">
        <x:v>Resource loading follows schedule approval</x:v>
      </x:c>
      <x:c r="D22" s="27" t="str">
        <x:v>Commit #9</x:v>
      </x:c>
      <x:c r="E22" s="27"/>
      <x:c r="F22" s="27"/>
      <x:c r="G22" s="27"/>
      <x:c r="H22" s="27"/>
    </x:row>
    <x:row r="23">
      <x:c r="A23" s="27"/>
      <x:c r="B23" s="27"/>
      <x:c r="C23" s="27"/>
      <x:c r="D23" s="27"/>
      <x:c r="E23" s="27"/>
      <x:c r="F23" s="27"/>
      <x:c r="G23" s="27"/>
      <x:c r="H23" s="27"/>
    </x:row>
    <x:row r="24">
      <x:c r="A24" s="27"/>
      <x:c r="B24" s="27"/>
      <x:c r="C24" s="27"/>
      <x:c r="D24" s="27"/>
      <x:c r="E24" s="27"/>
      <x:c r="F24" s="27"/>
      <x:c r="G24" s="27"/>
      <x:c r="H24" s="27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3375d49b2351461e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0" hidden="0" customWidth="1"/>
    <x:col min="3" max="3" width="36" hidden="0" customWidth="1"/>
    <x:col min="4" max="4" width="28" hidden="0" customWidth="1"/>
    <x:col min="5" max="5" width="15" hidden="0" customWidth="1"/>
    <x:col min="6" max="6" width="15" hidden="0" customWidth="1"/>
    <x:col min="7" max="7" width="13" hidden="0" customWidth="1"/>
    <x:col min="8" max="8" width="22" hidden="0" customWidth="1"/>
    <x:col min="9" max="9" width="13" hidden="0" customWidth="1"/>
    <x:col min="10" max="10" width="10" hidden="0" customWidth="1"/>
    <x:col min="11" max="11" width="13" hidden="0" customWidth="1"/>
    <x:col min="12" max="12" width="11" hidden="0" customWidth="1"/>
    <x:col min="13" max="13" width="15" hidden="0" customWidth="1"/>
    <x:col min="14" max="14" width="15" hidden="0" customWidth="1"/>
    <x:col min="15" max="15" width="16" hidden="0" customWidth="1"/>
    <x:col min="16" max="16" width="36" hidden="0" customWidth="1"/>
  </x:cols>
  <x:sheetData>
    <x:row r="1">
      <x:c r="A1" s="23" t="str">
        <x:v>Activity ID</x:v>
      </x:c>
      <x:c r="B1" s="23" t="str">
        <x:v>WBS ID</x:v>
      </x:c>
      <x:c r="C1" s="23" t="str">
        <x:v>Activity / Milestone</x:v>
      </x:c>
      <x:c r="D1" s="23" t="str">
        <x:v>Owner</x:v>
      </x:c>
      <x:c r="E1" s="23" t="str">
        <x:v>Baseline Start</x:v>
      </x:c>
      <x:c r="F1" s="23" t="str">
        <x:v>Baseline Finish</x:v>
      </x:c>
      <x:c r="G1" s="23" t="str">
        <x:v>Duration (WD)</x:v>
      </x:c>
      <x:c r="H1" s="23" t="str">
        <x:v>Predecessor(s)</x:v>
      </x:c>
      <x:c r="I1" s="23" t="str">
        <x:v>Total Float (WD)</x:v>
      </x:c>
      <x:c r="J1" s="23" t="str">
        <x:v>Critical?</x:v>
      </x:c>
      <x:c r="K1" s="23" t="str">
        <x:v>Status</x:v>
      </x:c>
      <x:c r="L1" s="23" t="str">
        <x:v>Type</x:v>
      </x:c>
      <x:c r="M1" s="23" t="str">
        <x:v>Baseline % Complete</x:v>
      </x:c>
      <x:c r="N1" s="23" t="str">
        <x:v>Forecast Finish</x:v>
      </x:c>
      <x:c r="O1" s="23" t="str">
        <x:v>Finish Variance (WD)</x:v>
      </x:c>
      <x:c r="P1" s="23" t="str">
        <x:v>Notes</x:v>
      </x:c>
    </x:row>
    <x:row r="2">
      <x:c r="A2" s="27" t="str">
        <x:v>AT-001</x:v>
      </x:c>
      <x:c r="B2" s="27" t="str">
        <x:v>1.1.1</x:v>
      </x:c>
      <x:c r="C2" s="27" t="str">
        <x:v>Finalize integrated project management approach</x:v>
      </x:c>
      <x:c r="D2" s="27" t="str">
        <x:v>Project Manager</x:v>
      </x:c>
      <x:c r="E2" s="28" t="n">
        <x:v>46027</x:v>
      </x:c>
      <x:c r="F2" s="28" t="n">
        <x:v>46031</x:v>
      </x:c>
      <x:c r="G2" s="27" t="n">
        <x:f>MAX(1,NETWORKDAYS(E2,F2))</x:f>
        <x:v>5</x:v>
      </x:c>
      <x:c r="H2" s="27" t="str"/>
      <x:c r="I2" s="27" t="n">
        <x:v>5</x:v>
      </x:c>
      <x:c r="J2" s="27" t="str">
        <x:v>No</x:v>
      </x:c>
      <x:c r="K2" s="27" t="str">
        <x:v>Not Started</x:v>
      </x:c>
      <x:c r="L2" s="27" t="str">
        <x:v>Activity</x:v>
      </x:c>
      <x:c r="M2" s="32" t="n">
        <x:v>0</x:v>
      </x:c>
      <x:c r="N2" s="28" t="n">
        <x:v>46031</x:v>
      </x:c>
      <x:c r="O2" s="27" t="n">
        <x:f>NETWORKDAYS(F2,N2)-1</x:f>
        <x:v>0</x:v>
      </x:c>
      <x:c r="P2" s="27" t="str">
        <x:v>Establish detailed planning approach following Charter approval.</x:v>
      </x:c>
    </x:row>
    <x:row r="3">
      <x:c r="A3" s="27" t="str">
        <x:v>AT-002</x:v>
      </x:c>
      <x:c r="B3" s="27" t="str">
        <x:v>1.2.3</x:v>
      </x:c>
      <x:c r="C3" s="27" t="str">
        <x:v>Project Charter approval milestone</x:v>
      </x:c>
      <x:c r="D3" s="27" t="str">
        <x:v>Executive Sponsor</x:v>
      </x:c>
      <x:c r="E3" s="28" t="n">
        <x:v>46031</x:v>
      </x:c>
      <x:c r="F3" s="28" t="n">
        <x:v>46031</x:v>
      </x:c>
      <x:c r="G3" s="27" t="n">
        <x:f>MAX(1,NETWORKDAYS(E3,F3))</x:f>
        <x:v>1</x:v>
      </x:c>
      <x:c r="H3" s="27" t="str">
        <x:v>AT-001</x:v>
      </x:c>
      <x:c r="I3" s="27" t="n">
        <x:v>0</x:v>
      </x:c>
      <x:c r="J3" s="27" t="str">
        <x:v>Yes</x:v>
      </x:c>
      <x:c r="K3" s="27" t="str">
        <x:v>Not Started</x:v>
      </x:c>
      <x:c r="L3" s="27" t="str">
        <x:v>Milestone</x:v>
      </x:c>
      <x:c r="M3" s="32" t="n">
        <x:v>0</x:v>
      </x:c>
      <x:c r="N3" s="28" t="n">
        <x:v>46031</x:v>
      </x:c>
      <x:c r="O3" s="27" t="n">
        <x:f>NETWORKDAYS(F3,N3)-1</x:f>
        <x:v>0</x:v>
      </x:c>
      <x:c r="P3" s="27" t="str">
        <x:v>Formal authorization to proceed.</x:v>
      </x:c>
    </x:row>
    <x:row r="4">
      <x:c r="A4" s="27" t="str">
        <x:v>AT-010</x:v>
      </x:c>
      <x:c r="B4" s="27" t="str">
        <x:v>2.1.1</x:v>
      </x:c>
      <x:c r="C4" s="27" t="str">
        <x:v>Business and functional requirements workshops</x:v>
      </x:c>
      <x:c r="D4" s="27" t="str">
        <x:v>Business Analysis Lead</x:v>
      </x:c>
      <x:c r="E4" s="28" t="n">
        <x:v>46034</x:v>
      </x:c>
      <x:c r="F4" s="28" t="n">
        <x:v>46052</x:v>
      </x:c>
      <x:c r="G4" s="27" t="n">
        <x:f>MAX(1,NETWORKDAYS(E4,F4))</x:f>
        <x:v>15</x:v>
      </x:c>
      <x:c r="H4" s="27" t="str">
        <x:v>AT-002</x:v>
      </x:c>
      <x:c r="I4" s="27" t="n">
        <x:v>0</x:v>
      </x:c>
      <x:c r="J4" s="27" t="str">
        <x:v>Yes</x:v>
      </x:c>
      <x:c r="K4" s="27" t="str">
        <x:v>Not Started</x:v>
      </x:c>
      <x:c r="L4" s="27" t="str">
        <x:v>Activity</x:v>
      </x:c>
      <x:c r="M4" s="32" t="n">
        <x:v>0</x:v>
      </x:c>
      <x:c r="N4" s="28" t="n">
        <x:v>46052</x:v>
      </x:c>
      <x:c r="O4" s="27" t="n">
        <x:f>NETWORKDAYS(F4,N4)-1</x:f>
        <x:v>0</x:v>
      </x:c>
      <x:c r="P4" s="27" t="str">
        <x:v>Core workflow and functional requirements.</x:v>
      </x:c>
    </x:row>
    <x:row r="5">
      <x:c r="A5" s="27" t="str">
        <x:v>AT-011</x:v>
      </x:c>
      <x:c r="B5" s="27" t="str">
        <x:v>2.1.2</x:v>
      </x:c>
      <x:c r="C5" s="27" t="str">
        <x:v>Integration and data requirements definition</x:v>
      </x:c>
      <x:c r="D5" s="27" t="str">
        <x:v>Business Analysis Lead</x:v>
      </x:c>
      <x:c r="E5" s="28" t="n">
        <x:v>46041</x:v>
      </x:c>
      <x:c r="F5" s="28" t="n">
        <x:v>46056</x:v>
      </x:c>
      <x:c r="G5" s="27" t="n">
        <x:f>MAX(1,NETWORKDAYS(E5,F5))</x:f>
        <x:v>12</x:v>
      </x:c>
      <x:c r="H5" s="27" t="str">
        <x:v>AT-002</x:v>
      </x:c>
      <x:c r="I5" s="27" t="n">
        <x:v>3</x:v>
      </x:c>
      <x:c r="J5" s="27" t="str">
        <x:v>No</x:v>
      </x:c>
      <x:c r="K5" s="27" t="str">
        <x:v>Not Started</x:v>
      </x:c>
      <x:c r="L5" s="27" t="str">
        <x:v>Activity</x:v>
      </x:c>
      <x:c r="M5" s="32" t="n">
        <x:v>0</x:v>
      </x:c>
      <x:c r="N5" s="28" t="n">
        <x:v>46056</x:v>
      </x:c>
      <x:c r="O5" s="27" t="n">
        <x:f>NETWORKDAYS(F5,N5)-1</x:f>
        <x:v>0</x:v>
      </x:c>
      <x:c r="P5" s="27" t="str">
        <x:v>Four interfaces and migration requirements.</x:v>
      </x:c>
    </x:row>
    <x:row r="6">
      <x:c r="A6" s="27" t="str">
        <x:v>AT-012</x:v>
      </x:c>
      <x:c r="B6" s="27" t="str">
        <x:v>2.1.3</x:v>
      </x:c>
      <x:c r="C6" s="27" t="str">
        <x:v>Regulatory, security and NFR definition</x:v>
      </x:c>
      <x:c r="D6" s="27" t="str">
        <x:v>Business Analysis Lead</x:v>
      </x:c>
      <x:c r="E6" s="28" t="n">
        <x:v>46041</x:v>
      </x:c>
      <x:c r="F6" s="28" t="n">
        <x:v>46056</x:v>
      </x:c>
      <x:c r="G6" s="27" t="n">
        <x:f>MAX(1,NETWORKDAYS(E6,F6))</x:f>
        <x:v>12</x:v>
      </x:c>
      <x:c r="H6" s="27" t="str">
        <x:v>AT-002</x:v>
      </x:c>
      <x:c r="I6" s="27" t="n">
        <x:v>3</x:v>
      </x:c>
      <x:c r="J6" s="27" t="str">
        <x:v>No</x:v>
      </x:c>
      <x:c r="K6" s="27" t="str">
        <x:v>Not Started</x:v>
      </x:c>
      <x:c r="L6" s="27" t="str">
        <x:v>Activity</x:v>
      </x:c>
      <x:c r="M6" s="32" t="n">
        <x:v>0</x:v>
      </x:c>
      <x:c r="N6" s="28" t="n">
        <x:v>46056</x:v>
      </x:c>
      <x:c r="O6" s="27" t="n">
        <x:f>NETWORKDAYS(F6,N6)-1</x:f>
        <x:v>0</x:v>
      </x:c>
      <x:c r="P6" s="27" t="str">
        <x:v>Compliance, security, operations, performance and training requirements.</x:v>
      </x:c>
    </x:row>
    <x:row r="7">
      <x:c r="A7" s="27" t="str">
        <x:v>AT-013</x:v>
      </x:c>
      <x:c r="B7" s="27" t="str">
        <x:v>2.1.4</x:v>
      </x:c>
      <x:c r="C7" s="27" t="str">
        <x:v>Requirements traceability and review</x:v>
      </x:c>
      <x:c r="D7" s="27" t="str">
        <x:v>Business Analysis Lead</x:v>
      </x:c>
      <x:c r="E7" s="28" t="n">
        <x:v>46055</x:v>
      </x:c>
      <x:c r="F7" s="28" t="n">
        <x:v>46059</x:v>
      </x:c>
      <x:c r="G7" s="27" t="n">
        <x:f>MAX(1,NETWORKDAYS(E7,F7))</x:f>
        <x:v>5</x:v>
      </x:c>
      <x:c r="H7" s="27" t="str">
        <x:v>AT-010,AT-011,AT-012</x:v>
      </x:c>
      <x:c r="I7" s="27" t="n">
        <x:v>0</x:v>
      </x:c>
      <x:c r="J7" s="27" t="str">
        <x:v>Yes</x:v>
      </x:c>
      <x:c r="K7" s="27" t="str">
        <x:v>Not Started</x:v>
      </x:c>
      <x:c r="L7" s="27" t="str">
        <x:v>Activity</x:v>
      </x:c>
      <x:c r="M7" s="32" t="n">
        <x:v>0</x:v>
      </x:c>
      <x:c r="N7" s="28" t="n">
        <x:v>46059</x:v>
      </x:c>
      <x:c r="O7" s="27" t="n">
        <x:f>NETWORKDAYS(F7,N7)-1</x:f>
        <x:v>0</x:v>
      </x:c>
      <x:c r="P7" s="27" t="str">
        <x:v>Complete RTM and resolve review comments.</x:v>
      </x:c>
    </x:row>
    <x:row r="8">
      <x:c r="A8" s="27" t="str">
        <x:v>AT-014</x:v>
      </x:c>
      <x:c r="B8" s="27" t="str">
        <x:v>2.1.4</x:v>
      </x:c>
      <x:c r="C8" s="27" t="str">
        <x:v>Requirements baseline approved</x:v>
      </x:c>
      <x:c r="D8" s="27" t="str">
        <x:v>Business Owner</x:v>
      </x:c>
      <x:c r="E8" s="28" t="n">
        <x:v>46059</x:v>
      </x:c>
      <x:c r="F8" s="28" t="n">
        <x:v>46059</x:v>
      </x:c>
      <x:c r="G8" s="27" t="n">
        <x:f>MAX(1,NETWORKDAYS(E8,F8))</x:f>
        <x:v>1</x:v>
      </x:c>
      <x:c r="H8" s="27" t="str">
        <x:v>AT-013</x:v>
      </x:c>
      <x:c r="I8" s="27" t="n">
        <x:v>0</x:v>
      </x:c>
      <x:c r="J8" s="27" t="str">
        <x:v>Yes</x:v>
      </x:c>
      <x:c r="K8" s="27" t="str">
        <x:v>Not Started</x:v>
      </x:c>
      <x:c r="L8" s="27" t="str">
        <x:v>Milestone</x:v>
      </x:c>
      <x:c r="M8" s="32" t="n">
        <x:v>0</x:v>
      </x:c>
      <x:c r="N8" s="28" t="n">
        <x:v>46059</x:v>
      </x:c>
      <x:c r="O8" s="27" t="n">
        <x:f>NETWORKDAYS(F8,N8)-1</x:f>
        <x:v>0</x:v>
      </x:c>
      <x:c r="P8" s="27" t="str">
        <x:v>Requirements stage gate.</x:v>
      </x:c>
    </x:row>
    <x:row r="9">
      <x:c r="A9" s="27" t="str">
        <x:v>AT-020</x:v>
      </x:c>
      <x:c r="B9" s="27" t="str">
        <x:v>2.2.1</x:v>
      </x:c>
      <x:c r="C9" s="27" t="str">
        <x:v>Application solution design</x:v>
      </x:c>
      <x:c r="D9" s="27" t="str">
        <x:v>Solution Architect</x:v>
      </x:c>
      <x:c r="E9" s="28" t="n">
        <x:v>46062</x:v>
      </x:c>
      <x:c r="F9" s="28" t="n">
        <x:v>46080</x:v>
      </x:c>
      <x:c r="G9" s="27" t="n">
        <x:f>MAX(1,NETWORKDAYS(E9,F9))</x:f>
        <x:v>15</x:v>
      </x:c>
      <x:c r="H9" s="27" t="str">
        <x:v>AT-014</x:v>
      </x:c>
      <x:c r="I9" s="27" t="n">
        <x:v>0</x:v>
      </x:c>
      <x:c r="J9" s="27" t="str">
        <x:v>Yes</x:v>
      </x:c>
      <x:c r="K9" s="27" t="str">
        <x:v>Not Started</x:v>
      </x:c>
      <x:c r="L9" s="27" t="str">
        <x:v>Activity</x:v>
      </x:c>
      <x:c r="M9" s="32" t="n">
        <x:v>0</x:v>
      </x:c>
      <x:c r="N9" s="28" t="n">
        <x:v>46080</x:v>
      </x:c>
      <x:c r="O9" s="27" t="n">
        <x:f>NETWORKDAYS(F9,N9)-1</x:f>
        <x:v>0</x:v>
      </x:c>
      <x:c r="P9" s="27" t="str">
        <x:v>Application architecture, workflows, reporting and audit design.</x:v>
      </x:c>
    </x:row>
    <x:row r="10">
      <x:c r="A10" s="27" t="str">
        <x:v>AT-021</x:v>
      </x:c>
      <x:c r="B10" s="27" t="str">
        <x:v>2.2.2</x:v>
      </x:c>
      <x:c r="C10" s="27" t="str">
        <x:v>Integration solution design</x:v>
      </x:c>
      <x:c r="D10" s="27" t="str">
        <x:v>Integration &amp; Data Migration Lead</x:v>
      </x:c>
      <x:c r="E10" s="28" t="n">
        <x:v>46062</x:v>
      </x:c>
      <x:c r="F10" s="28" t="n">
        <x:v>46077</x:v>
      </x:c>
      <x:c r="G10" s="27" t="n">
        <x:f>MAX(1,NETWORKDAYS(E10,F10))</x:f>
        <x:v>12</x:v>
      </x:c>
      <x:c r="H10" s="27" t="str">
        <x:v>AT-014</x:v>
      </x:c>
      <x:c r="I10" s="27" t="n">
        <x:v>4</x:v>
      </x:c>
      <x:c r="J10" s="27" t="str">
        <x:v>No</x:v>
      </x:c>
      <x:c r="K10" s="27" t="str">
        <x:v>Not Started</x:v>
      </x:c>
      <x:c r="L10" s="27" t="str">
        <x:v>Activity</x:v>
      </x:c>
      <x:c r="M10" s="32" t="n">
        <x:v>0</x:v>
      </x:c>
      <x:c r="N10" s="28" t="n">
        <x:v>46077</x:v>
      </x:c>
      <x:c r="O10" s="27" t="n">
        <x:f>NETWORKDAYS(F10,N10)-1</x:f>
        <x:v>0</x:v>
      </x:c>
      <x:c r="P10" s="27" t="str">
        <x:v>Patterns, mappings, error handling and monitoring.</x:v>
      </x:c>
    </x:row>
    <x:row r="11">
      <x:c r="A11" s="27" t="str">
        <x:v>AT-022</x:v>
      </x:c>
      <x:c r="B11" s="27" t="str">
        <x:v>2.2.3</x:v>
      </x:c>
      <x:c r="C11" s="27" t="str">
        <x:v>Data migration design</x:v>
      </x:c>
      <x:c r="D11" s="27" t="str">
        <x:v>Integration &amp; Data Migration Lead</x:v>
      </x:c>
      <x:c r="E11" s="28" t="n">
        <x:v>46069</x:v>
      </x:c>
      <x:c r="F11" s="28" t="n">
        <x:v>46083</x:v>
      </x:c>
      <x:c r="G11" s="27" t="n">
        <x:f>MAX(1,NETWORKDAYS(E11,F11))</x:f>
        <x:v>11</x:v>
      </x:c>
      <x:c r="H11" s="27" t="str">
        <x:v>AT-014</x:v>
      </x:c>
      <x:c r="I11" s="27" t="n">
        <x:v>3</x:v>
      </x:c>
      <x:c r="J11" s="27" t="str">
        <x:v>No</x:v>
      </x:c>
      <x:c r="K11" s="27" t="str">
        <x:v>Not Started</x:v>
      </x:c>
      <x:c r="L11" s="27" t="str">
        <x:v>Activity</x:v>
      </x:c>
      <x:c r="M11" s="32" t="n">
        <x:v>0</x:v>
      </x:c>
      <x:c r="N11" s="28" t="n">
        <x:v>46083</x:v>
      </x:c>
      <x:c r="O11" s="27" t="n">
        <x:f>NETWORKDAYS(F11,N11)-1</x:f>
        <x:v>0</x:v>
      </x:c>
      <x:c r="P11" s="27" t="str">
        <x:v>Mapping, transformation and reconciliation design.</x:v>
      </x:c>
    </x:row>
    <x:row r="12">
      <x:c r="A12" s="27" t="str">
        <x:v>AT-023</x:v>
      </x:c>
      <x:c r="B12" s="27" t="str">
        <x:v>2.2.4</x:v>
      </x:c>
      <x:c r="C12" s="27" t="str">
        <x:v>Security and access design</x:v>
      </x:c>
      <x:c r="D12" s="27" t="str">
        <x:v>Solution Architect</x:v>
      </x:c>
      <x:c r="E12" s="28" t="n">
        <x:v>46069</x:v>
      </x:c>
      <x:c r="F12" s="28" t="n">
        <x:v>46080</x:v>
      </x:c>
      <x:c r="G12" s="27" t="n">
        <x:f>MAX(1,NETWORKDAYS(E12,F12))</x:f>
        <x:v>10</x:v>
      </x:c>
      <x:c r="H12" s="27" t="str">
        <x:v>AT-014</x:v>
      </x:c>
      <x:c r="I12" s="27" t="n">
        <x:v>2</x:v>
      </x:c>
      <x:c r="J12" s="27" t="str">
        <x:v>No</x:v>
      </x:c>
      <x:c r="K12" s="27" t="str">
        <x:v>Not Started</x:v>
      </x:c>
      <x:c r="L12" s="27" t="str">
        <x:v>Activity</x:v>
      </x:c>
      <x:c r="M12" s="32" t="n">
        <x:v>0</x:v>
      </x:c>
      <x:c r="N12" s="28" t="n">
        <x:v>46080</x:v>
      </x:c>
      <x:c r="O12" s="27" t="n">
        <x:f>NETWORKDAYS(F12,N12)-1</x:f>
        <x:v>0</x:v>
      </x:c>
      <x:c r="P12" s="27" t="str">
        <x:v>RBAC, authentication, encryption and logging.</x:v>
      </x:c>
    </x:row>
    <x:row r="13">
      <x:c r="A13" s="27" t="str">
        <x:v>AT-024</x:v>
      </x:c>
      <x:c r="B13" s="27" t="str">
        <x:v>2.2.5</x:v>
      </x:c>
      <x:c r="C13" s="27" t="str">
        <x:v>Operational and support design</x:v>
      </x:c>
      <x:c r="D13" s="27" t="str">
        <x:v>Solution Architect</x:v>
      </x:c>
      <x:c r="E13" s="28" t="n">
        <x:v>46076</x:v>
      </x:c>
      <x:c r="F13" s="28" t="n">
        <x:v>46084</x:v>
      </x:c>
      <x:c r="G13" s="27" t="n">
        <x:f>MAX(1,NETWORKDAYS(E13,F13))</x:f>
        <x:v>7</x:v>
      </x:c>
      <x:c r="H13" s="27" t="str">
        <x:v>AT-020</x:v>
      </x:c>
      <x:c r="I13" s="27" t="n">
        <x:v>4</x:v>
      </x:c>
      <x:c r="J13" s="27" t="str">
        <x:v>No</x:v>
      </x:c>
      <x:c r="K13" s="27" t="str">
        <x:v>Not Started</x:v>
      </x:c>
      <x:c r="L13" s="27" t="str">
        <x:v>Activity</x:v>
      </x:c>
      <x:c r="M13" s="32" t="n">
        <x:v>0</x:v>
      </x:c>
      <x:c r="N13" s="28" t="n">
        <x:v>46084</x:v>
      </x:c>
      <x:c r="O13" s="27" t="n">
        <x:f>NETWORKDAYS(F13,N13)-1</x:f>
        <x:v>0</x:v>
      </x:c>
      <x:c r="P13" s="27" t="str">
        <x:v>Monitoring, recovery and support model.</x:v>
      </x:c>
    </x:row>
    <x:row r="14">
      <x:c r="A14" s="27" t="str">
        <x:v>AT-025</x:v>
      </x:c>
      <x:c r="B14" s="27" t="str">
        <x:v>2.2.6</x:v>
      </x:c>
      <x:c r="C14" s="27" t="str">
        <x:v>Consolidated design review and closure</x:v>
      </x:c>
      <x:c r="D14" s="27" t="str">
        <x:v>Solution Architect</x:v>
      </x:c>
      <x:c r="E14" s="28" t="n">
        <x:v>46083</x:v>
      </x:c>
      <x:c r="F14" s="28" t="n">
        <x:v>46087</x:v>
      </x:c>
      <x:c r="G14" s="27" t="n">
        <x:f>MAX(1,NETWORKDAYS(E14,F14))</x:f>
        <x:v>5</x:v>
      </x:c>
      <x:c r="H14" s="27" t="str">
        <x:v>AT-020,AT-021,AT-022,AT-023,AT-024</x:v>
      </x:c>
      <x:c r="I14" s="27" t="n">
        <x:v>0</x:v>
      </x:c>
      <x:c r="J14" s="27" t="str">
        <x:v>Yes</x:v>
      </x:c>
      <x:c r="K14" s="27" t="str">
        <x:v>Not Started</x:v>
      </x:c>
      <x:c r="L14" s="27" t="str">
        <x:v>Activity</x:v>
      </x:c>
      <x:c r="M14" s="32" t="n">
        <x:v>0</x:v>
      </x:c>
      <x:c r="N14" s="28" t="n">
        <x:v>46087</x:v>
      </x:c>
      <x:c r="O14" s="27" t="n">
        <x:f>NETWORKDAYS(F14,N14)-1</x:f>
        <x:v>0</x:v>
      </x:c>
      <x:c r="P14" s="27" t="str">
        <x:v>Resolve mandatory design comments.</x:v>
      </x:c>
    </x:row>
    <x:row r="15">
      <x:c r="A15" s="27" t="str">
        <x:v>AT-026</x:v>
      </x:c>
      <x:c r="B15" s="27" t="str">
        <x:v>2.2.6</x:v>
      </x:c>
      <x:c r="C15" s="27" t="str">
        <x:v>Solution design approved</x:v>
      </x:c>
      <x:c r="D15" s="27" t="str">
        <x:v>Technology Lead</x:v>
      </x:c>
      <x:c r="E15" s="28" t="n">
        <x:v>46087</x:v>
      </x:c>
      <x:c r="F15" s="28" t="n">
        <x:v>46087</x:v>
      </x:c>
      <x:c r="G15" s="27" t="n">
        <x:f>MAX(1,NETWORKDAYS(E15,F15))</x:f>
        <x:v>1</x:v>
      </x:c>
      <x:c r="H15" s="27" t="str">
        <x:v>AT-025</x:v>
      </x:c>
      <x:c r="I15" s="27" t="n">
        <x:v>0</x:v>
      </x:c>
      <x:c r="J15" s="27" t="str">
        <x:v>Yes</x:v>
      </x:c>
      <x:c r="K15" s="27" t="str">
        <x:v>Not Started</x:v>
      </x:c>
      <x:c r="L15" s="27" t="str">
        <x:v>Milestone</x:v>
      </x:c>
      <x:c r="M15" s="32" t="n">
        <x:v>0</x:v>
      </x:c>
      <x:c r="N15" s="28" t="n">
        <x:v>46087</x:v>
      </x:c>
      <x:c r="O15" s="27" t="n">
        <x:f>NETWORKDAYS(F15,N15)-1</x:f>
        <x:v>0</x:v>
      </x:c>
      <x:c r="P15" s="27" t="str">
        <x:v>Design stage gate.</x:v>
      </x:c>
    </x:row>
    <x:row r="16">
      <x:c r="A16" s="27" t="str">
        <x:v>AT-030</x:v>
      </x:c>
      <x:c r="B16" s="27" t="str">
        <x:v>3.1.1</x:v>
      </x:c>
      <x:c r="C16" s="27" t="str">
        <x:v>Application framework and base configuration</x:v>
      </x:c>
      <x:c r="D16" s="27" t="str">
        <x:v>Application Development Lead</x:v>
      </x:c>
      <x:c r="E16" s="28" t="n">
        <x:v>46090</x:v>
      </x:c>
      <x:c r="F16" s="28" t="n">
        <x:v>46108</x:v>
      </x:c>
      <x:c r="G16" s="27" t="n">
        <x:f>MAX(1,NETWORKDAYS(E16,F16))</x:f>
        <x:v>15</x:v>
      </x:c>
      <x:c r="H16" s="27" t="str">
        <x:v>AT-026</x:v>
      </x:c>
      <x:c r="I16" s="27" t="n">
        <x:v>0</x:v>
      </x:c>
      <x:c r="J16" s="27" t="str">
        <x:v>Yes</x:v>
      </x:c>
      <x:c r="K16" s="27" t="str">
        <x:v>Not Started</x:v>
      </x:c>
      <x:c r="L16" s="27" t="str">
        <x:v>Activity</x:v>
      </x:c>
      <x:c r="M16" s="32" t="n">
        <x:v>0</x:v>
      </x:c>
      <x:c r="N16" s="28" t="n">
        <x:v>46108</x:v>
      </x:c>
      <x:c r="O16" s="27" t="n">
        <x:f>NETWORKDAYS(F16,N16)-1</x:f>
        <x:v>0</x:v>
      </x:c>
      <x:c r="P16" s="27" t="str">
        <x:v>Foundation and common services.</x:v>
      </x:c>
    </x:row>
    <x:row r="17">
      <x:c r="A17" s="27" t="str">
        <x:v>AT-031</x:v>
      </x:c>
      <x:c r="B17" s="27" t="str">
        <x:v>3.1.2</x:v>
      </x:c>
      <x:c r="C17" s="27" t="str">
        <x:v>Role-based access implementation</x:v>
      </x:c>
      <x:c r="D17" s="27" t="str">
        <x:v>Application Development Lead</x:v>
      </x:c>
      <x:c r="E17" s="28" t="n">
        <x:v>46104</x:v>
      </x:c>
      <x:c r="F17" s="28" t="n">
        <x:v>46122</x:v>
      </x:c>
      <x:c r="G17" s="27" t="n">
        <x:f>MAX(1,NETWORKDAYS(E17,F17))</x:f>
        <x:v>15</x:v>
      </x:c>
      <x:c r="H17" s="27" t="str">
        <x:v>AT-030,AT-023</x:v>
      </x:c>
      <x:c r="I17" s="27" t="n">
        <x:v>5</x:v>
      </x:c>
      <x:c r="J17" s="27" t="str">
        <x:v>No</x:v>
      </x:c>
      <x:c r="K17" s="27" t="str">
        <x:v>Not Started</x:v>
      </x:c>
      <x:c r="L17" s="27" t="str">
        <x:v>Activity</x:v>
      </x:c>
      <x:c r="M17" s="32" t="n">
        <x:v>0</x:v>
      </x:c>
      <x:c r="N17" s="28" t="n">
        <x:v>46122</x:v>
      </x:c>
      <x:c r="O17" s="27" t="n">
        <x:f>NETWORKDAYS(F17,N17)-1</x:f>
        <x:v>0</x:v>
      </x:c>
      <x:c r="P17" s="27" t="str">
        <x:v>RBAC and IAM-related application configuration.</x:v>
      </x:c>
    </x:row>
    <x:row r="18">
      <x:c r="A18" s="27" t="str">
        <x:v>AT-032</x:v>
      </x:c>
      <x:c r="B18" s="27" t="str">
        <x:v>3.2.1</x:v>
      </x:c>
      <x:c r="C18" s="27" t="str">
        <x:v>Core record management workflow development</x:v>
      </x:c>
      <x:c r="D18" s="27" t="str">
        <x:v>Application Development Lead</x:v>
      </x:c>
      <x:c r="E18" s="28" t="n">
        <x:v>46111</x:v>
      </x:c>
      <x:c r="F18" s="28" t="n">
        <x:v>46129</x:v>
      </x:c>
      <x:c r="G18" s="27" t="n">
        <x:f>MAX(1,NETWORKDAYS(E18,F18))</x:f>
        <x:v>15</x:v>
      </x:c>
      <x:c r="H18" s="27" t="str">
        <x:v>AT-030</x:v>
      </x:c>
      <x:c r="I18" s="27" t="n">
        <x:v>0</x:v>
      </x:c>
      <x:c r="J18" s="27" t="str">
        <x:v>Yes</x:v>
      </x:c>
      <x:c r="K18" s="27" t="str">
        <x:v>Not Started</x:v>
      </x:c>
      <x:c r="L18" s="27" t="str">
        <x:v>Activity</x:v>
      </x:c>
      <x:c r="M18" s="32" t="n">
        <x:v>0</x:v>
      </x:c>
      <x:c r="N18" s="28" t="n">
        <x:v>46129</x:v>
      </x:c>
      <x:c r="O18" s="27" t="n">
        <x:f>NETWORKDAYS(F18,N18)-1</x:f>
        <x:v>0</x:v>
      </x:c>
      <x:c r="P18" s="27" t="str">
        <x:v>Create/review/update/submit workflow.</x:v>
      </x:c>
    </x:row>
    <x:row r="19">
      <x:c r="A19" s="27" t="str">
        <x:v>AT-033</x:v>
      </x:c>
      <x:c r="B19" s="27" t="str">
        <x:v>3.2.2</x:v>
      </x:c>
      <x:c r="C19" s="27" t="str">
        <x:v>Approval routing and business rules development</x:v>
      </x:c>
      <x:c r="D19" s="27" t="str">
        <x:v>Application Development Lead</x:v>
      </x:c>
      <x:c r="E19" s="28" t="n">
        <x:v>46118</x:v>
      </x:c>
      <x:c r="F19" s="28" t="n">
        <x:v>46136</x:v>
      </x:c>
      <x:c r="G19" s="27" t="n">
        <x:f>MAX(1,NETWORKDAYS(E19,F19))</x:f>
        <x:v>15</x:v>
      </x:c>
      <x:c r="H19" s="27" t="str">
        <x:v>AT-032</x:v>
      </x:c>
      <x:c r="I19" s="27" t="n">
        <x:v>0</x:v>
      </x:c>
      <x:c r="J19" s="27" t="str">
        <x:v>Yes</x:v>
      </x:c>
      <x:c r="K19" s="27" t="str">
        <x:v>Not Started</x:v>
      </x:c>
      <x:c r="L19" s="27" t="str">
        <x:v>Activity</x:v>
      </x:c>
      <x:c r="M19" s="32" t="n">
        <x:v>0</x:v>
      </x:c>
      <x:c r="N19" s="28" t="n">
        <x:v>46136</x:v>
      </x:c>
      <x:c r="O19" s="27" t="n">
        <x:f>NETWORKDAYS(F19,N19)-1</x:f>
        <x:v>0</x:v>
      </x:c>
      <x:c r="P19" s="27" t="str">
        <x:v>Approval logic and state transitions.</x:v>
      </x:c>
    </x:row>
    <x:row r="20">
      <x:c r="A20" s="27" t="str">
        <x:v>AT-034</x:v>
      </x:c>
      <x:c r="B20" s="27" t="str">
        <x:v>3.2.3</x:v>
      </x:c>
      <x:c r="C20" s="27" t="str">
        <x:v>Search, reporting and audit feature development</x:v>
      </x:c>
      <x:c r="D20" s="27" t="str">
        <x:v>Application Development Lead</x:v>
      </x:c>
      <x:c r="E20" s="28" t="n">
        <x:v>46118</x:v>
      </x:c>
      <x:c r="F20" s="28" t="n">
        <x:v>46136</x:v>
      </x:c>
      <x:c r="G20" s="27" t="n">
        <x:f>MAX(1,NETWORKDAYS(E20,F20))</x:f>
        <x:v>15</x:v>
      </x:c>
      <x:c r="H20" s="27" t="str">
        <x:v>AT-032</x:v>
      </x:c>
      <x:c r="I20" s="27" t="n">
        <x:v>5</x:v>
      </x:c>
      <x:c r="J20" s="27" t="str">
        <x:v>No</x:v>
      </x:c>
      <x:c r="K20" s="27" t="str">
        <x:v>Not Started</x:v>
      </x:c>
      <x:c r="L20" s="27" t="str">
        <x:v>Activity</x:v>
      </x:c>
      <x:c r="M20" s="32" t="n">
        <x:v>0</x:v>
      </x:c>
      <x:c r="N20" s="28" t="n">
        <x:v>46136</x:v>
      </x:c>
      <x:c r="O20" s="27" t="n">
        <x:f>NETWORKDAYS(F20,N20)-1</x:f>
        <x:v>0</x:v>
      </x:c>
      <x:c r="P20" s="27" t="str">
        <x:v>Search, reports and audit functions.</x:v>
      </x:c>
    </x:row>
    <x:row r="21">
      <x:c r="A21" s="27" t="str">
        <x:v>AT-035</x:v>
      </x:c>
      <x:c r="B21" s="27" t="str">
        <x:v>3.2.4</x:v>
      </x:c>
      <x:c r="C21" s="27" t="str">
        <x:v>Workflow notification feature development</x:v>
      </x:c>
      <x:c r="D21" s="27" t="str">
        <x:v>Application Development Lead</x:v>
      </x:c>
      <x:c r="E21" s="28" t="n">
        <x:v>46132</x:v>
      </x:c>
      <x:c r="F21" s="28" t="n">
        <x:v>46143</x:v>
      </x:c>
      <x:c r="G21" s="27" t="n">
        <x:f>MAX(1,NETWORKDAYS(E21,F21))</x:f>
        <x:v>10</x:v>
      </x:c>
      <x:c r="H21" s="27" t="str">
        <x:v>AT-033,AT-021</x:v>
      </x:c>
      <x:c r="I21" s="27" t="n">
        <x:v>4</x:v>
      </x:c>
      <x:c r="J21" s="27" t="str">
        <x:v>No</x:v>
      </x:c>
      <x:c r="K21" s="27" t="str">
        <x:v>Not Started</x:v>
      </x:c>
      <x:c r="L21" s="27" t="str">
        <x:v>Activity</x:v>
      </x:c>
      <x:c r="M21" s="32" t="n">
        <x:v>0</x:v>
      </x:c>
      <x:c r="N21" s="28" t="n">
        <x:v>46143</x:v>
      </x:c>
      <x:c r="O21" s="27" t="n">
        <x:f>NETWORKDAYS(F21,N21)-1</x:f>
        <x:v>0</x:v>
      </x:c>
      <x:c r="P21" s="27" t="str">
        <x:v>Application-side event triggering.</x:v>
      </x:c>
    </x:row>
    <x:row r="22">
      <x:c r="A22" s="27" t="str">
        <x:v>AT-036</x:v>
      </x:c>
      <x:c r="B22" s="27" t="str">
        <x:v>3.3.1</x:v>
      </x:c>
      <x:c r="C22" s="27" t="str">
        <x:v>Developer verification and code-quality remediation</x:v>
      </x:c>
      <x:c r="D22" s="27" t="str">
        <x:v>Application Development Lead</x:v>
      </x:c>
      <x:c r="E22" s="28" t="n">
        <x:v>46139</x:v>
      </x:c>
      <x:c r="F22" s="28" t="n">
        <x:v>46148</x:v>
      </x:c>
      <x:c r="G22" s="27" t="n">
        <x:f>MAX(1,NETWORKDAYS(E22,F22))</x:f>
        <x:v>8</x:v>
      </x:c>
      <x:c r="H22" s="27" t="str">
        <x:v>AT-031,AT-033,AT-034,AT-035</x:v>
      </x:c>
      <x:c r="I22" s="27" t="n">
        <x:v>0</x:v>
      </x:c>
      <x:c r="J22" s="27" t="str">
        <x:v>Yes</x:v>
      </x:c>
      <x:c r="K22" s="27" t="str">
        <x:v>Not Started</x:v>
      </x:c>
      <x:c r="L22" s="27" t="str">
        <x:v>Activity</x:v>
      </x:c>
      <x:c r="M22" s="32" t="n">
        <x:v>0</x:v>
      </x:c>
      <x:c r="N22" s="28" t="n">
        <x:v>46148</x:v>
      </x:c>
      <x:c r="O22" s="27" t="n">
        <x:f>NETWORKDAYS(F22,N22)-1</x:f>
        <x:v>0</x:v>
      </x:c>
      <x:c r="P22" s="27" t="str">
        <x:v>Developer testing and quality checks.</x:v>
      </x:c>
    </x:row>
    <x:row r="23">
      <x:c r="A23" s="27" t="str">
        <x:v>AT-037</x:v>
      </x:c>
      <x:c r="B23" s="27" t="str">
        <x:v>3.3.2</x:v>
      </x:c>
      <x:c r="C23" s="27" t="str">
        <x:v>Package application release candidate</x:v>
      </x:c>
      <x:c r="D23" s="27" t="str">
        <x:v>Application Development Lead</x:v>
      </x:c>
      <x:c r="E23" s="28" t="n">
        <x:v>46149</x:v>
      </x:c>
      <x:c r="F23" s="28" t="n">
        <x:v>46150</x:v>
      </x:c>
      <x:c r="G23" s="27" t="n">
        <x:f>MAX(1,NETWORKDAYS(E23,F23))</x:f>
        <x:v>2</x:v>
      </x:c>
      <x:c r="H23" s="27" t="str">
        <x:v>AT-036</x:v>
      </x:c>
      <x:c r="I23" s="27" t="n">
        <x:v>0</x:v>
      </x:c>
      <x:c r="J23" s="27" t="str">
        <x:v>Yes</x:v>
      </x:c>
      <x:c r="K23" s="27" t="str">
        <x:v>Not Started</x:v>
      </x:c>
      <x:c r="L23" s="27" t="str">
        <x:v>Activity</x:v>
      </x:c>
      <x:c r="M23" s="32" t="n">
        <x:v>0</x:v>
      </x:c>
      <x:c r="N23" s="28" t="n">
        <x:v>46150</x:v>
      </x:c>
      <x:c r="O23" s="27" t="n">
        <x:f>NETWORKDAYS(F23,N23)-1</x:f>
        <x:v>0</x:v>
      </x:c>
      <x:c r="P23" s="27" t="str">
        <x:v>Controlled build for formal testing.</x:v>
      </x:c>
    </x:row>
    <x:row r="24">
      <x:c r="A24" s="27" t="str">
        <x:v>AT-038</x:v>
      </x:c>
      <x:c r="B24" s="27" t="str">
        <x:v>3.3.2</x:v>
      </x:c>
      <x:c r="C24" s="27" t="str">
        <x:v>Application build complete</x:v>
      </x:c>
      <x:c r="D24" s="27" t="str">
        <x:v>Technology Lead</x:v>
      </x:c>
      <x:c r="E24" s="28" t="n">
        <x:v>46150</x:v>
      </x:c>
      <x:c r="F24" s="28" t="n">
        <x:v>46150</x:v>
      </x:c>
      <x:c r="G24" s="27" t="n">
        <x:f>MAX(1,NETWORKDAYS(E24,F24))</x:f>
        <x:v>1</x:v>
      </x:c>
      <x:c r="H24" s="27" t="str">
        <x:v>AT-037</x:v>
      </x:c>
      <x:c r="I24" s="27" t="n">
        <x:v>0</x:v>
      </x:c>
      <x:c r="J24" s="27" t="str">
        <x:v>Yes</x:v>
      </x:c>
      <x:c r="K24" s="27" t="str">
        <x:v>Not Started</x:v>
      </x:c>
      <x:c r="L24" s="27" t="str">
        <x:v>Milestone</x:v>
      </x:c>
      <x:c r="M24" s="32" t="n">
        <x:v>0</x:v>
      </x:c>
      <x:c r="N24" s="28" t="n">
        <x:v>46150</x:v>
      </x:c>
      <x:c r="O24" s="27" t="n">
        <x:f>NETWORKDAYS(F24,N24)-1</x:f>
        <x:v>0</x:v>
      </x:c>
      <x:c r="P24" s="27" t="str">
        <x:v>Application build completion.</x:v>
      </x:c>
    </x:row>
    <x:row r="25">
      <x:c r="A25" s="27" t="str">
        <x:v>AT-040</x:v>
      </x:c>
      <x:c r="B25" s="27" t="str">
        <x:v>4.1.1</x:v>
      </x:c>
      <x:c r="C25" s="27" t="str">
        <x:v>IAM integration build</x:v>
      </x:c>
      <x:c r="D25" s="27" t="str">
        <x:v>Integration &amp; Data Migration Lead</x:v>
      </x:c>
      <x:c r="E25" s="28" t="n">
        <x:v>46097</x:v>
      </x:c>
      <x:c r="F25" s="28" t="n">
        <x:v>46115</x:v>
      </x:c>
      <x:c r="G25" s="27" t="n">
        <x:f>MAX(1,NETWORKDAYS(E25,F25))</x:f>
        <x:v>15</x:v>
      </x:c>
      <x:c r="H25" s="27" t="str">
        <x:v>AT-021,AT-023</x:v>
      </x:c>
      <x:c r="I25" s="27" t="n">
        <x:v>5</x:v>
      </x:c>
      <x:c r="J25" s="27" t="str">
        <x:v>No</x:v>
      </x:c>
      <x:c r="K25" s="27" t="str">
        <x:v>Not Started</x:v>
      </x:c>
      <x:c r="L25" s="27" t="str">
        <x:v>Activity</x:v>
      </x:c>
      <x:c r="M25" s="32" t="n">
        <x:v>0</x:v>
      </x:c>
      <x:c r="N25" s="28" t="n">
        <x:v>46115</x:v>
      </x:c>
      <x:c r="O25" s="27" t="n">
        <x:f>NETWORKDAYS(F25,N25)-1</x:f>
        <x:v>0</x:v>
      </x:c>
      <x:c r="P25" s="27" t="str">
        <x:v>Enterprise IAM interface.</x:v>
      </x:c>
    </x:row>
    <x:row r="26">
      <x:c r="A26" s="27" t="str">
        <x:v>AT-041</x:v>
      </x:c>
      <x:c r="B26" s="27" t="str">
        <x:v>4.1.2</x:v>
      </x:c>
      <x:c r="C26" s="27" t="str">
        <x:v>Master Data integration build</x:v>
      </x:c>
      <x:c r="D26" s="27" t="str">
        <x:v>Integration &amp; Data Migration Lead</x:v>
      </x:c>
      <x:c r="E26" s="28" t="n">
        <x:v>46097</x:v>
      </x:c>
      <x:c r="F26" s="28" t="n">
        <x:v>46122</x:v>
      </x:c>
      <x:c r="G26" s="27" t="n">
        <x:f>MAX(1,NETWORKDAYS(E26,F26))</x:f>
        <x:v>20</x:v>
      </x:c>
      <x:c r="H26" s="27" t="str">
        <x:v>AT-021</x:v>
      </x:c>
      <x:c r="I26" s="27" t="n">
        <x:v>5</x:v>
      </x:c>
      <x:c r="J26" s="27" t="str">
        <x:v>No</x:v>
      </x:c>
      <x:c r="K26" s="27" t="str">
        <x:v>Not Started</x:v>
      </x:c>
      <x:c r="L26" s="27" t="str">
        <x:v>Activity</x:v>
      </x:c>
      <x:c r="M26" s="32" t="n">
        <x:v>0</x:v>
      </x:c>
      <x:c r="N26" s="28" t="n">
        <x:v>46122</x:v>
      </x:c>
      <x:c r="O26" s="27" t="n">
        <x:f>NETWORKDAYS(F26,N26)-1</x:f>
        <x:v>0</x:v>
      </x:c>
      <x:c r="P26" s="27" t="str">
        <x:v>Master/reference data integration.</x:v>
      </x:c>
    </x:row>
    <x:row r="27">
      <x:c r="A27" s="27" t="str">
        <x:v>AT-042</x:v>
      </x:c>
      <x:c r="B27" s="27" t="str">
        <x:v>4.1.3</x:v>
      </x:c>
      <x:c r="C27" s="27" t="str">
        <x:v>Records Management integration build</x:v>
      </x:c>
      <x:c r="D27" s="27" t="str">
        <x:v>Integration &amp; Data Migration Lead</x:v>
      </x:c>
      <x:c r="E27" s="28" t="n">
        <x:v>46104</x:v>
      </x:c>
      <x:c r="F27" s="28" t="n">
        <x:v>46129</x:v>
      </x:c>
      <x:c r="G27" s="27" t="n">
        <x:f>MAX(1,NETWORKDAYS(E27,F27))</x:f>
        <x:v>20</x:v>
      </x:c>
      <x:c r="H27" s="27" t="str">
        <x:v>AT-021</x:v>
      </x:c>
      <x:c r="I27" s="27" t="n">
        <x:v>3</x:v>
      </x:c>
      <x:c r="J27" s="27" t="str">
        <x:v>No</x:v>
      </x:c>
      <x:c r="K27" s="27" t="str">
        <x:v>Not Started</x:v>
      </x:c>
      <x:c r="L27" s="27" t="str">
        <x:v>Activity</x:v>
      </x:c>
      <x:c r="M27" s="32" t="n">
        <x:v>0</x:v>
      </x:c>
      <x:c r="N27" s="28" t="n">
        <x:v>46129</x:v>
      </x:c>
      <x:c r="O27" s="27" t="n">
        <x:f>NETWORKDAYS(F27,N27)-1</x:f>
        <x:v>0</x:v>
      </x:c>
      <x:c r="P27" s="27" t="str">
        <x:v>Records/archive integration.</x:v>
      </x:c>
    </x:row>
    <x:row r="28">
      <x:c r="A28" s="27" t="str">
        <x:v>AT-043</x:v>
      </x:c>
      <x:c r="B28" s="27" t="str">
        <x:v>4.1.4</x:v>
      </x:c>
      <x:c r="C28" s="27" t="str">
        <x:v>Notification integration build</x:v>
      </x:c>
      <x:c r="D28" s="27" t="str">
        <x:v>Integration &amp; Data Migration Lead</x:v>
      </x:c>
      <x:c r="E28" s="28" t="n">
        <x:v>46118</x:v>
      </x:c>
      <x:c r="F28" s="28" t="n">
        <x:v>46143</x:v>
      </x:c>
      <x:c r="G28" s="27" t="n">
        <x:f>MAX(1,NETWORKDAYS(E28,F28))</x:f>
        <x:v>20</x:v>
      </x:c>
      <x:c r="H28" s="27" t="str">
        <x:v>AT-021</x:v>
      </x:c>
      <x:c r="I28" s="27" t="n">
        <x:v>4</x:v>
      </x:c>
      <x:c r="J28" s="27" t="str">
        <x:v>No</x:v>
      </x:c>
      <x:c r="K28" s="27" t="str">
        <x:v>Not Started</x:v>
      </x:c>
      <x:c r="L28" s="27" t="str">
        <x:v>Activity</x:v>
      </x:c>
      <x:c r="M28" s="32" t="n">
        <x:v>0</x:v>
      </x:c>
      <x:c r="N28" s="28" t="n">
        <x:v>46143</x:v>
      </x:c>
      <x:c r="O28" s="27" t="n">
        <x:f>NETWORKDAYS(F28,N28)-1</x:f>
        <x:v>0</x:v>
      </x:c>
      <x:c r="P28" s="27" t="str">
        <x:v>Enterprise notification interface.</x:v>
      </x:c>
    </x:row>
    <x:row r="29">
      <x:c r="A29" s="27" t="str">
        <x:v>AT-044</x:v>
      </x:c>
      <x:c r="B29" s="27" t="str">
        <x:v>4.1</x:v>
      </x:c>
      <x:c r="C29" s="27" t="str">
        <x:v>Integration component verification</x:v>
      </x:c>
      <x:c r="D29" s="27" t="str">
        <x:v>Integration &amp; Data Migration Lead</x:v>
      </x:c>
      <x:c r="E29" s="28" t="n">
        <x:v>46146</x:v>
      </x:c>
      <x:c r="F29" s="28" t="n">
        <x:v>46150</x:v>
      </x:c>
      <x:c r="G29" s="27" t="n">
        <x:f>MAX(1,NETWORKDAYS(E29,F29))</x:f>
        <x:v>5</x:v>
      </x:c>
      <x:c r="H29" s="27" t="str">
        <x:v>AT-040,AT-041,AT-042,AT-043</x:v>
      </x:c>
      <x:c r="I29" s="27" t="n">
        <x:v>0</x:v>
      </x:c>
      <x:c r="J29" s="27" t="str">
        <x:v>Yes</x:v>
      </x:c>
      <x:c r="K29" s="27" t="str">
        <x:v>Not Started</x:v>
      </x:c>
      <x:c r="L29" s="27" t="str">
        <x:v>Activity</x:v>
      </x:c>
      <x:c r="M29" s="32" t="n">
        <x:v>0</x:v>
      </x:c>
      <x:c r="N29" s="28" t="n">
        <x:v>46150</x:v>
      </x:c>
      <x:c r="O29" s="27" t="n">
        <x:f>NETWORKDAYS(F29,N29)-1</x:f>
        <x:v>0</x:v>
      </x:c>
      <x:c r="P29" s="27" t="str">
        <x:v>Confirm interfaces ready for formal integration testing.</x:v>
      </x:c>
    </x:row>
    <x:row r="30">
      <x:c r="A30" s="27" t="str">
        <x:v>AT-045</x:v>
      </x:c>
      <x:c r="B30" s="27" t="str">
        <x:v>4.1</x:v>
      </x:c>
      <x:c r="C30" s="27" t="str">
        <x:v>Integration build complete</x:v>
      </x:c>
      <x:c r="D30" s="27" t="str">
        <x:v>Technology Lead</x:v>
      </x:c>
      <x:c r="E30" s="28" t="n">
        <x:v>46150</x:v>
      </x:c>
      <x:c r="F30" s="28" t="n">
        <x:v>46150</x:v>
      </x:c>
      <x:c r="G30" s="27" t="n">
        <x:f>MAX(1,NETWORKDAYS(E30,F30))</x:f>
        <x:v>1</x:v>
      </x:c>
      <x:c r="H30" s="27" t="str">
        <x:v>AT-044</x:v>
      </x:c>
      <x:c r="I30" s="27" t="n">
        <x:v>0</x:v>
      </x:c>
      <x:c r="J30" s="27" t="str">
        <x:v>Yes</x:v>
      </x:c>
      <x:c r="K30" s="27" t="str">
        <x:v>Not Started</x:v>
      </x:c>
      <x:c r="L30" s="27" t="str">
        <x:v>Milestone</x:v>
      </x:c>
      <x:c r="M30" s="32" t="n">
        <x:v>0</x:v>
      </x:c>
      <x:c r="N30" s="28" t="n">
        <x:v>46150</x:v>
      </x:c>
      <x:c r="O30" s="27" t="n">
        <x:f>NETWORKDAYS(F30,N30)-1</x:f>
        <x:v>0</x:v>
      </x:c>
      <x:c r="P30" s="27" t="str">
        <x:v>Four interfaces ready for formal testing.</x:v>
      </x:c>
    </x:row>
    <x:row r="31">
      <x:c r="A31" s="27" t="str">
        <x:v>AT-046</x:v>
      </x:c>
      <x:c r="B31" s="27" t="str">
        <x:v>4.2.1</x:v>
      </x:c>
      <x:c r="C31" s="27" t="str">
        <x:v>Source data profiling and mapping</x:v>
      </x:c>
      <x:c r="D31" s="27" t="str">
        <x:v>Integration &amp; Data Migration Lead</x:v>
      </x:c>
      <x:c r="E31" s="28" t="n">
        <x:v>46069</x:v>
      </x:c>
      <x:c r="F31" s="28" t="n">
        <x:v>46087</x:v>
      </x:c>
      <x:c r="G31" s="27" t="n">
        <x:f>MAX(1,NETWORKDAYS(E31,F31))</x:f>
        <x:v>15</x:v>
      </x:c>
      <x:c r="H31" s="27" t="str">
        <x:v>AT-014</x:v>
      </x:c>
      <x:c r="I31" s="27" t="n">
        <x:v>10</x:v>
      </x:c>
      <x:c r="J31" s="27" t="str">
        <x:v>No</x:v>
      </x:c>
      <x:c r="K31" s="27" t="str">
        <x:v>Not Started</x:v>
      </x:c>
      <x:c r="L31" s="27" t="str">
        <x:v>Activity</x:v>
      </x:c>
      <x:c r="M31" s="32" t="n">
        <x:v>0</x:v>
      </x:c>
      <x:c r="N31" s="28" t="n">
        <x:v>46087</x:v>
      </x:c>
      <x:c r="O31" s="27" t="n">
        <x:f>NETWORKDAYS(F31,N31)-1</x:f>
        <x:v>0</x:v>
      </x:c>
      <x:c r="P31" s="27" t="str">
        <x:v>Assess migration scope and data quality.</x:v>
      </x:c>
    </x:row>
    <x:row r="32">
      <x:c r="A32" s="27" t="str">
        <x:v>AT-047</x:v>
      </x:c>
      <x:c r="B32" s="27" t="str">
        <x:v>4.2.2</x:v>
      </x:c>
      <x:c r="C32" s="27" t="str">
        <x:v>Migration routines and reconciliation controls</x:v>
      </x:c>
      <x:c r="D32" s="27" t="str">
        <x:v>Integration &amp; Data Migration Lead</x:v>
      </x:c>
      <x:c r="E32" s="28" t="n">
        <x:v>46090</x:v>
      </x:c>
      <x:c r="F32" s="28" t="n">
        <x:v>46136</x:v>
      </x:c>
      <x:c r="G32" s="27" t="n">
        <x:f>MAX(1,NETWORKDAYS(E32,F32))</x:f>
        <x:v>35</x:v>
      </x:c>
      <x:c r="H32" s="27" t="str">
        <x:v>AT-022,AT-046</x:v>
      </x:c>
      <x:c r="I32" s="27" t="n">
        <x:v>5</x:v>
      </x:c>
      <x:c r="J32" s="27" t="str">
        <x:v>No</x:v>
      </x:c>
      <x:c r="K32" s="27" t="str">
        <x:v>Not Started</x:v>
      </x:c>
      <x:c r="L32" s="27" t="str">
        <x:v>Activity</x:v>
      </x:c>
      <x:c r="M32" s="32" t="n">
        <x:v>0</x:v>
      </x:c>
      <x:c r="N32" s="28" t="n">
        <x:v>46136</x:v>
      </x:c>
      <x:c r="O32" s="27" t="n">
        <x:f>NETWORKDAYS(F32,N32)-1</x:f>
        <x:v>0</x:v>
      </x:c>
      <x:c r="P32" s="27" t="str">
        <x:v>Develop migration code and controls.</x:v>
      </x:c>
    </x:row>
    <x:row r="33">
      <x:c r="A33" s="27" t="str">
        <x:v>AT-048</x:v>
      </x:c>
      <x:c r="B33" s="27" t="str">
        <x:v>4.2.3</x:v>
      </x:c>
      <x:c r="C33" s="27" t="str">
        <x:v>Trial migration preparation</x:v>
      </x:c>
      <x:c r="D33" s="27" t="str">
        <x:v>Integration &amp; Data Migration Lead</x:v>
      </x:c>
      <x:c r="E33" s="28" t="n">
        <x:v>46139</x:v>
      </x:c>
      <x:c r="F33" s="28" t="n">
        <x:v>46150</x:v>
      </x:c>
      <x:c r="G33" s="27" t="n">
        <x:f>MAX(1,NETWORKDAYS(E33,F33))</x:f>
        <x:v>10</x:v>
      </x:c>
      <x:c r="H33" s="27" t="str">
        <x:v>AT-047</x:v>
      </x:c>
      <x:c r="I33" s="27" t="n">
        <x:v>5</x:v>
      </x:c>
      <x:c r="J33" s="27" t="str">
        <x:v>No</x:v>
      </x:c>
      <x:c r="K33" s="27" t="str">
        <x:v>Not Started</x:v>
      </x:c>
      <x:c r="L33" s="27" t="str">
        <x:v>Activity</x:v>
      </x:c>
      <x:c r="M33" s="32" t="n">
        <x:v>0</x:v>
      </x:c>
      <x:c r="N33" s="28" t="n">
        <x:v>46150</x:v>
      </x:c>
      <x:c r="O33" s="27" t="n">
        <x:f>NETWORKDAYS(F33,N33)-1</x:f>
        <x:v>0</x:v>
      </x:c>
      <x:c r="P33" s="27" t="str">
        <x:v>Prepare extracts, environment and control totals.</x:v>
      </x:c>
    </x:row>
    <x:row r="34">
      <x:c r="A34" s="27" t="str">
        <x:v>AT-049</x:v>
      </x:c>
      <x:c r="B34" s="27" t="str">
        <x:v>4.2.3</x:v>
      </x:c>
      <x:c r="C34" s="27" t="str">
        <x:v>Execute trial migration and reconciliation</x:v>
      </x:c>
      <x:c r="D34" s="27" t="str">
        <x:v>Integration &amp; Data Migration Lead</x:v>
      </x:c>
      <x:c r="E34" s="28" t="n">
        <x:v>46153</x:v>
      </x:c>
      <x:c r="F34" s="28" t="n">
        <x:v>46164</x:v>
      </x:c>
      <x:c r="G34" s="27" t="n">
        <x:f>MAX(1,NETWORKDAYS(E34,F34))</x:f>
        <x:v>10</x:v>
      </x:c>
      <x:c r="H34" s="27" t="str">
        <x:v>AT-048</x:v>
      </x:c>
      <x:c r="I34" s="27" t="n">
        <x:v>5</x:v>
      </x:c>
      <x:c r="J34" s="27" t="str">
        <x:v>No</x:v>
      </x:c>
      <x:c r="K34" s="27" t="str">
        <x:v>Not Started</x:v>
      </x:c>
      <x:c r="L34" s="27" t="str">
        <x:v>Activity</x:v>
      </x:c>
      <x:c r="M34" s="32" t="n">
        <x:v>0</x:v>
      </x:c>
      <x:c r="N34" s="28" t="n">
        <x:v>46164</x:v>
      </x:c>
      <x:c r="O34" s="27" t="n">
        <x:f>NETWORKDAYS(F34,N34)-1</x:f>
        <x:v>0</x:v>
      </x:c>
      <x:c r="P34" s="27" t="str">
        <x:v>Validate migration logic and timing.</x:v>
      </x:c>
    </x:row>
    <x:row r="35">
      <x:c r="A35" s="27" t="str">
        <x:v>AT-050</x:v>
      </x:c>
      <x:c r="B35" s="27" t="str">
        <x:v>5.1.1</x:v>
      </x:c>
      <x:c r="C35" s="27" t="str">
        <x:v>Develop test and validation strategy</x:v>
      </x:c>
      <x:c r="D35" s="27" t="str">
        <x:v>Validation &amp; Deployment Lead</x:v>
      </x:c>
      <x:c r="E35" s="28" t="n">
        <x:v>46104</x:v>
      </x:c>
      <x:c r="F35" s="28" t="n">
        <x:v>46122</x:v>
      </x:c>
      <x:c r="G35" s="27" t="n">
        <x:f>MAX(1,NETWORKDAYS(E35,F35))</x:f>
        <x:v>15</x:v>
      </x:c>
      <x:c r="H35" s="27" t="str">
        <x:v>AT-026</x:v>
      </x:c>
      <x:c r="I35" s="27" t="n">
        <x:v>10</x:v>
      </x:c>
      <x:c r="J35" s="27" t="str">
        <x:v>No</x:v>
      </x:c>
      <x:c r="K35" s="27" t="str">
        <x:v>Not Started</x:v>
      </x:c>
      <x:c r="L35" s="27" t="str">
        <x:v>Activity</x:v>
      </x:c>
      <x:c r="M35" s="32" t="n">
        <x:v>0</x:v>
      </x:c>
      <x:c r="N35" s="28" t="n">
        <x:v>46122</x:v>
      </x:c>
      <x:c r="O35" s="27" t="n">
        <x:f>NETWORKDAYS(F35,N35)-1</x:f>
        <x:v>0</x:v>
      </x:c>
      <x:c r="P35" s="27" t="str">
        <x:v>Test levels, evidence and governance.</x:v>
      </x:c>
    </x:row>
    <x:row r="36">
      <x:c r="A36" s="27" t="str">
        <x:v>AT-051</x:v>
      </x:c>
      <x:c r="B36" s="27" t="str">
        <x:v>5.1.2</x:v>
      </x:c>
      <x:c r="C36" s="27" t="str">
        <x:v>Prepare test cases and traceability</x:v>
      </x:c>
      <x:c r="D36" s="27" t="str">
        <x:v>Validation &amp; Deployment Lead</x:v>
      </x:c>
      <x:c r="E36" s="28" t="n">
        <x:v>46125</x:v>
      </x:c>
      <x:c r="F36" s="28" t="n">
        <x:v>46143</x:v>
      </x:c>
      <x:c r="G36" s="27" t="n">
        <x:f>MAX(1,NETWORKDAYS(E36,F36))</x:f>
        <x:v>15</x:v>
      </x:c>
      <x:c r="H36" s="27" t="str">
        <x:v>AT-050,AT-014</x:v>
      </x:c>
      <x:c r="I36" s="27" t="n">
        <x:v>5</x:v>
      </x:c>
      <x:c r="J36" s="27" t="str">
        <x:v>No</x:v>
      </x:c>
      <x:c r="K36" s="27" t="str">
        <x:v>Not Started</x:v>
      </x:c>
      <x:c r="L36" s="27" t="str">
        <x:v>Activity</x:v>
      </x:c>
      <x:c r="M36" s="32" t="n">
        <x:v>0</x:v>
      </x:c>
      <x:c r="N36" s="28" t="n">
        <x:v>46143</x:v>
      </x:c>
      <x:c r="O36" s="27" t="n">
        <x:f>NETWORKDAYS(F36,N36)-1</x:f>
        <x:v>0</x:v>
      </x:c>
      <x:c r="P36" s="27" t="str">
        <x:v>Trace test coverage to RTM.</x:v>
      </x:c>
    </x:row>
    <x:row r="37">
      <x:c r="A37" s="27" t="str">
        <x:v>AT-052</x:v>
      </x:c>
      <x:c r="B37" s="27" t="str">
        <x:v>5.1.2</x:v>
      </x:c>
      <x:c r="C37" s="27" t="str">
        <x:v>Test environment and data readiness</x:v>
      </x:c>
      <x:c r="D37" s="27" t="str">
        <x:v>Validation &amp; Deployment Lead</x:v>
      </x:c>
      <x:c r="E37" s="28" t="n">
        <x:v>46139</x:v>
      </x:c>
      <x:c r="F37" s="28" t="n">
        <x:v>46150</x:v>
      </x:c>
      <x:c r="G37" s="27" t="n">
        <x:f>MAX(1,NETWORKDAYS(E37,F37))</x:f>
        <x:v>10</x:v>
      </x:c>
      <x:c r="H37" s="27" t="str">
        <x:v>AT-050</x:v>
      </x:c>
      <x:c r="I37" s="27" t="n">
        <x:v>0</x:v>
      </x:c>
      <x:c r="J37" s="27" t="str">
        <x:v>Yes</x:v>
      </x:c>
      <x:c r="K37" s="27" t="str">
        <x:v>Not Started</x:v>
      </x:c>
      <x:c r="L37" s="27" t="str">
        <x:v>Activity</x:v>
      </x:c>
      <x:c r="M37" s="32" t="n">
        <x:v>0</x:v>
      </x:c>
      <x:c r="N37" s="28" t="n">
        <x:v>46150</x:v>
      </x:c>
      <x:c r="O37" s="27" t="n">
        <x:f>NETWORKDAYS(F37,N37)-1</x:f>
        <x:v>0</x:v>
      </x:c>
      <x:c r="P37" s="27" t="str">
        <x:v>Environment readiness for formal testing.</x:v>
      </x:c>
    </x:row>
    <x:row r="38">
      <x:c r="A38" s="27" t="str">
        <x:v>AT-053</x:v>
      </x:c>
      <x:c r="B38" s="27" t="str">
        <x:v>5.2.1</x:v>
      </x:c>
      <x:c r="C38" s="27" t="str">
        <x:v>System and regression testing</x:v>
      </x:c>
      <x:c r="D38" s="27" t="str">
        <x:v>Validation &amp; Deployment Lead</x:v>
      </x:c>
      <x:c r="E38" s="28" t="n">
        <x:v>46153</x:v>
      </x:c>
      <x:c r="F38" s="28" t="n">
        <x:v>46178</x:v>
      </x:c>
      <x:c r="G38" s="27" t="n">
        <x:f>MAX(1,NETWORKDAYS(E38,F38))</x:f>
        <x:v>20</x:v>
      </x:c>
      <x:c r="H38" s="27" t="str">
        <x:v>AT-038,AT-052</x:v>
      </x:c>
      <x:c r="I38" s="27" t="n">
        <x:v>0</x:v>
      </x:c>
      <x:c r="J38" s="27" t="str">
        <x:v>Yes</x:v>
      </x:c>
      <x:c r="K38" s="27" t="str">
        <x:v>Not Started</x:v>
      </x:c>
      <x:c r="L38" s="27" t="str">
        <x:v>Activity</x:v>
      </x:c>
      <x:c r="M38" s="32" t="n">
        <x:v>0</x:v>
      </x:c>
      <x:c r="N38" s="28" t="n">
        <x:v>46178</x:v>
      </x:c>
      <x:c r="O38" s="27" t="n">
        <x:f>NETWORKDAYS(F38,N38)-1</x:f>
        <x:v>0</x:v>
      </x:c>
      <x:c r="P38" s="27" t="str">
        <x:v>Formal application verification.</x:v>
      </x:c>
    </x:row>
    <x:row r="39">
      <x:c r="A39" s="27" t="str">
        <x:v>AT-054</x:v>
      </x:c>
      <x:c r="B39" s="27" t="str">
        <x:v>5.2.2</x:v>
      </x:c>
      <x:c r="C39" s="27" t="str">
        <x:v>Integration testing</x:v>
      </x:c>
      <x:c r="D39" s="27" t="str">
        <x:v>Validation &amp; Deployment Lead</x:v>
      </x:c>
      <x:c r="E39" s="28" t="n">
        <x:v>46160</x:v>
      </x:c>
      <x:c r="F39" s="28" t="n">
        <x:v>46185</x:v>
      </x:c>
      <x:c r="G39" s="27" t="n">
        <x:f>MAX(1,NETWORKDAYS(E39,F39))</x:f>
        <x:v>20</x:v>
      </x:c>
      <x:c r="H39" s="27" t="str">
        <x:v>AT-045,AT-052</x:v>
      </x:c>
      <x:c r="I39" s="27" t="n">
        <x:v>0</x:v>
      </x:c>
      <x:c r="J39" s="27" t="str">
        <x:v>Yes</x:v>
      </x:c>
      <x:c r="K39" s="27" t="str">
        <x:v>Not Started</x:v>
      </x:c>
      <x:c r="L39" s="27" t="str">
        <x:v>Activity</x:v>
      </x:c>
      <x:c r="M39" s="32" t="n">
        <x:v>0</x:v>
      </x:c>
      <x:c r="N39" s="28" t="n">
        <x:v>46185</x:v>
      </x:c>
      <x:c r="O39" s="27" t="n">
        <x:f>NETWORKDAYS(F39,N39)-1</x:f>
        <x:v>0</x:v>
      </x:c>
      <x:c r="P39" s="27" t="str">
        <x:v>End-to-end interface scenarios.</x:v>
      </x:c>
    </x:row>
    <x:row r="40">
      <x:c r="A40" s="27" t="str">
        <x:v>AT-055</x:v>
      </x:c>
      <x:c r="B40" s="27" t="str">
        <x:v>5.2.3</x:v>
      </x:c>
      <x:c r="C40" s="27" t="str">
        <x:v>Performance testing</x:v>
      </x:c>
      <x:c r="D40" s="27" t="str">
        <x:v>Validation &amp; Deployment Lead</x:v>
      </x:c>
      <x:c r="E40" s="28" t="n">
        <x:v>46181</x:v>
      </x:c>
      <x:c r="F40" s="28" t="n">
        <x:v>46192</x:v>
      </x:c>
      <x:c r="G40" s="27" t="n">
        <x:f>MAX(1,NETWORKDAYS(E40,F40))</x:f>
        <x:v>10</x:v>
      </x:c>
      <x:c r="H40" s="27" t="str">
        <x:v>AT-053</x:v>
      </x:c>
      <x:c r="I40" s="27" t="n">
        <x:v>5</x:v>
      </x:c>
      <x:c r="J40" s="27" t="str">
        <x:v>No</x:v>
      </x:c>
      <x:c r="K40" s="27" t="str">
        <x:v>Not Started</x:v>
      </x:c>
      <x:c r="L40" s="27" t="str">
        <x:v>Activity</x:v>
      </x:c>
      <x:c r="M40" s="32" t="n">
        <x:v>0</x:v>
      </x:c>
      <x:c r="N40" s="28" t="n">
        <x:v>46192</x:v>
      </x:c>
      <x:c r="O40" s="27" t="n">
        <x:f>NETWORKDAYS(F40,N40)-1</x:f>
        <x:v>0</x:v>
      </x:c>
      <x:c r="P40" s="27" t="str">
        <x:v>Concurrency and response-time testing.</x:v>
      </x:c>
    </x:row>
    <x:row r="41">
      <x:c r="A41" s="27" t="str">
        <x:v>AT-056</x:v>
      </x:c>
      <x:c r="B41" s="27" t="str">
        <x:v>5.2.4</x:v>
      </x:c>
      <x:c r="C41" s="27" t="str">
        <x:v>Security assessment</x:v>
      </x:c>
      <x:c r="D41" s="27" t="str">
        <x:v>Validation &amp; Deployment Lead</x:v>
      </x:c>
      <x:c r="E41" s="28" t="n">
        <x:v>46181</x:v>
      </x:c>
      <x:c r="F41" s="28" t="n">
        <x:v>46192</x:v>
      </x:c>
      <x:c r="G41" s="27" t="n">
        <x:f>MAX(1,NETWORKDAYS(E41,F41))</x:f>
        <x:v>10</x:v>
      </x:c>
      <x:c r="H41" s="27" t="str">
        <x:v>AT-053,AT-054</x:v>
      </x:c>
      <x:c r="I41" s="27" t="n">
        <x:v>0</x:v>
      </x:c>
      <x:c r="J41" s="27" t="str">
        <x:v>Yes</x:v>
      </x:c>
      <x:c r="K41" s="27" t="str">
        <x:v>Not Started</x:v>
      </x:c>
      <x:c r="L41" s="27" t="str">
        <x:v>Activity</x:v>
      </x:c>
      <x:c r="M41" s="32" t="n">
        <x:v>0</x:v>
      </x:c>
      <x:c r="N41" s="28" t="n">
        <x:v>46192</x:v>
      </x:c>
      <x:c r="O41" s="27" t="n">
        <x:f>NETWORKDAYS(F41,N41)-1</x:f>
        <x:v>0</x:v>
      </x:c>
      <x:c r="P41" s="27" t="str">
        <x:v>Security controls and vulnerability assessment.</x:v>
      </x:c>
    </x:row>
    <x:row r="42">
      <x:c r="A42" s="27" t="str">
        <x:v>AT-057</x:v>
      </x:c>
      <x:c r="B42" s="27" t="str">
        <x:v>5.2</x:v>
      </x:c>
      <x:c r="C42" s="27" t="str">
        <x:v>Technical testing complete</x:v>
      </x:c>
      <x:c r="D42" s="27" t="str">
        <x:v>Technology Lead</x:v>
      </x:c>
      <x:c r="E42" s="28" t="n">
        <x:v>46192</x:v>
      </x:c>
      <x:c r="F42" s="28" t="n">
        <x:v>46192</x:v>
      </x:c>
      <x:c r="G42" s="27" t="n">
        <x:f>MAX(1,NETWORKDAYS(E42,F42))</x:f>
        <x:v>1</x:v>
      </x:c>
      <x:c r="H42" s="27" t="str">
        <x:v>AT-053,AT-054,AT-055,AT-056</x:v>
      </x:c>
      <x:c r="I42" s="27" t="n">
        <x:v>0</x:v>
      </x:c>
      <x:c r="J42" s="27" t="str">
        <x:v>Yes</x:v>
      </x:c>
      <x:c r="K42" s="27" t="str">
        <x:v>Not Started</x:v>
      </x:c>
      <x:c r="L42" s="27" t="str">
        <x:v>Milestone</x:v>
      </x:c>
      <x:c r="M42" s="32" t="n">
        <x:v>0</x:v>
      </x:c>
      <x:c r="N42" s="28" t="n">
        <x:v>46192</x:v>
      </x:c>
      <x:c r="O42" s="27" t="n">
        <x:f>NETWORKDAYS(F42,N42)-1</x:f>
        <x:v>0</x:v>
      </x:c>
      <x:c r="P42" s="27" t="str">
        <x:v>Technical verification stage gate.</x:v>
      </x:c>
    </x:row>
    <x:row r="43">
      <x:c r="A43" s="27" t="str">
        <x:v>AT-060</x:v>
      </x:c>
      <x:c r="B43" s="27" t="str">
        <x:v>5.3.1</x:v>
      </x:c>
      <x:c r="C43" s="27" t="str">
        <x:v>Regulated validation execution</x:v>
      </x:c>
      <x:c r="D43" s="27" t="str">
        <x:v>Validation &amp; Deployment Lead</x:v>
      </x:c>
      <x:c r="E43" s="28" t="n">
        <x:v>46195</x:v>
      </x:c>
      <x:c r="F43" s="28" t="n">
        <x:v>46213</x:v>
      </x:c>
      <x:c r="G43" s="27" t="n">
        <x:f>MAX(1,NETWORKDAYS(E43,F43))</x:f>
        <x:v>15</x:v>
      </x:c>
      <x:c r="H43" s="27" t="str">
        <x:v>AT-057</x:v>
      </x:c>
      <x:c r="I43" s="27" t="n">
        <x:v>0</x:v>
      </x:c>
      <x:c r="J43" s="27" t="str">
        <x:v>Yes</x:v>
      </x:c>
      <x:c r="K43" s="27" t="str">
        <x:v>Not Started</x:v>
      </x:c>
      <x:c r="L43" s="27" t="str">
        <x:v>Activity</x:v>
      </x:c>
      <x:c r="M43" s="32" t="n">
        <x:v>0</x:v>
      </x:c>
      <x:c r="N43" s="28" t="n">
        <x:v>46213</x:v>
      </x:c>
      <x:c r="O43" s="27" t="n">
        <x:f>NETWORKDAYS(F43,N43)-1</x:f>
        <x:v>0</x:v>
      </x:c>
      <x:c r="P43" s="27" t="str">
        <x:v>Execute controlled validation protocols.</x:v>
      </x:c>
    </x:row>
    <x:row r="44">
      <x:c r="A44" s="27" t="str">
        <x:v>AT-061</x:v>
      </x:c>
      <x:c r="B44" s="27" t="str">
        <x:v>5.3.2</x:v>
      </x:c>
      <x:c r="C44" s="27" t="str">
        <x:v>User Acceptance Testing</x:v>
      </x:c>
      <x:c r="D44" s="27" t="str">
        <x:v>Validation &amp; Deployment Lead</x:v>
      </x:c>
      <x:c r="E44" s="28" t="n">
        <x:v>46195</x:v>
      </x:c>
      <x:c r="F44" s="28" t="n">
        <x:v>46220</x:v>
      </x:c>
      <x:c r="G44" s="27" t="n">
        <x:f>MAX(1,NETWORKDAYS(E44,F44))</x:f>
        <x:v>20</x:v>
      </x:c>
      <x:c r="H44" s="27" t="str">
        <x:v>AT-057,AT-049</x:v>
      </x:c>
      <x:c r="I44" s="27" t="n">
        <x:v>0</x:v>
      </x:c>
      <x:c r="J44" s="27" t="str">
        <x:v>Yes</x:v>
      </x:c>
      <x:c r="K44" s="27" t="str">
        <x:v>Not Started</x:v>
      </x:c>
      <x:c r="L44" s="27" t="str">
        <x:v>Activity</x:v>
      </x:c>
      <x:c r="M44" s="32" t="n">
        <x:v>0</x:v>
      </x:c>
      <x:c r="N44" s="28" t="n">
        <x:v>46220</x:v>
      </x:c>
      <x:c r="O44" s="27" t="n">
        <x:f>NETWORKDAYS(F44,N44)-1</x:f>
        <x:v>0</x:v>
      </x:c>
      <x:c r="P44" s="27" t="str">
        <x:v>Representative regional business UAT.</x:v>
      </x:c>
    </x:row>
    <x:row r="45">
      <x:c r="A45" s="27" t="str">
        <x:v>AT-062</x:v>
      </x:c>
      <x:c r="B45" s="27" t="str">
        <x:v>5.3.3</x:v>
      </x:c>
      <x:c r="C45" s="27" t="str">
        <x:v>Defect remediation and retesting</x:v>
      </x:c>
      <x:c r="D45" s="27" t="str">
        <x:v>Application Development Lead</x:v>
      </x:c>
      <x:c r="E45" s="28" t="n">
        <x:v>46209</x:v>
      </x:c>
      <x:c r="F45" s="28" t="n">
        <x:v>46227</x:v>
      </x:c>
      <x:c r="G45" s="27" t="n">
        <x:f>MAX(1,NETWORKDAYS(E45,F45))</x:f>
        <x:v>15</x:v>
      </x:c>
      <x:c r="H45" s="27" t="str">
        <x:v>AT-060,AT-061</x:v>
      </x:c>
      <x:c r="I45" s="27" t="n">
        <x:v>0</x:v>
      </x:c>
      <x:c r="J45" s="27" t="str">
        <x:v>Yes</x:v>
      </x:c>
      <x:c r="K45" s="27" t="str">
        <x:v>Not Started</x:v>
      </x:c>
      <x:c r="L45" s="27" t="str">
        <x:v>Activity</x:v>
      </x:c>
      <x:c r="M45" s="32" t="n">
        <x:v>0</x:v>
      </x:c>
      <x:c r="N45" s="28" t="n">
        <x:v>46227</x:v>
      </x:c>
      <x:c r="O45" s="27" t="n">
        <x:f>NETWORKDAYS(F45,N45)-1</x:f>
        <x:v>0</x:v>
      </x:c>
      <x:c r="P45" s="27" t="str">
        <x:v>Resolve validation/UAT defects.</x:v>
      </x:c>
    </x:row>
    <x:row r="46">
      <x:c r="A46" s="27" t="str">
        <x:v>AT-063</x:v>
      </x:c>
      <x:c r="B46" s="27" t="str">
        <x:v>5.3.4</x:v>
      </x:c>
      <x:c r="C46" s="27" t="str">
        <x:v>Final traceability reconciliation and validation approval</x:v>
      </x:c>
      <x:c r="D46" s="27" t="str">
        <x:v>Validation &amp; Deployment Lead</x:v>
      </x:c>
      <x:c r="E46" s="28" t="n">
        <x:v>46230</x:v>
      </x:c>
      <x:c r="F46" s="28" t="n">
        <x:v>46234</x:v>
      </x:c>
      <x:c r="G46" s="27" t="n">
        <x:f>MAX(1,NETWORKDAYS(E46,F46))</x:f>
        <x:v>5</x:v>
      </x:c>
      <x:c r="H46" s="27" t="str">
        <x:v>AT-062</x:v>
      </x:c>
      <x:c r="I46" s="27" t="n">
        <x:v>0</x:v>
      </x:c>
      <x:c r="J46" s="27" t="str">
        <x:v>Yes</x:v>
      </x:c>
      <x:c r="K46" s="27" t="str">
        <x:v>Not Started</x:v>
      </x:c>
      <x:c r="L46" s="27" t="str">
        <x:v>Activity</x:v>
      </x:c>
      <x:c r="M46" s="32" t="n">
        <x:v>0</x:v>
      </x:c>
      <x:c r="N46" s="28" t="n">
        <x:v>46234</x:v>
      </x:c>
      <x:c r="O46" s="27" t="n">
        <x:f>NETWORKDAYS(F46,N46)-1</x:f>
        <x:v>0</x:v>
      </x:c>
      <x:c r="P46" s="27" t="str">
        <x:v>Reconcile RTM, evidence and approvals.</x:v>
      </x:c>
    </x:row>
    <x:row r="47">
      <x:c r="A47" s="27" t="str">
        <x:v>AT-064</x:v>
      </x:c>
      <x:c r="B47" s="27" t="str">
        <x:v>5.3</x:v>
      </x:c>
      <x:c r="C47" s="27" t="str">
        <x:v>Validation and UAT complete</x:v>
      </x:c>
      <x:c r="D47" s="27" t="str">
        <x:v>Quality / Compliance Lead</x:v>
      </x:c>
      <x:c r="E47" s="28" t="n">
        <x:v>46234</x:v>
      </x:c>
      <x:c r="F47" s="28" t="n">
        <x:v>46234</x:v>
      </x:c>
      <x:c r="G47" s="27" t="n">
        <x:f>MAX(1,NETWORKDAYS(E47,F47))</x:f>
        <x:v>1</x:v>
      </x:c>
      <x:c r="H47" s="27" t="str">
        <x:v>AT-063</x:v>
      </x:c>
      <x:c r="I47" s="27" t="n">
        <x:v>0</x:v>
      </x:c>
      <x:c r="J47" s="27" t="str">
        <x:v>Yes</x:v>
      </x:c>
      <x:c r="K47" s="27" t="str">
        <x:v>Not Started</x:v>
      </x:c>
      <x:c r="L47" s="27" t="str">
        <x:v>Milestone</x:v>
      </x:c>
      <x:c r="M47" s="32" t="n">
        <x:v>0</x:v>
      </x:c>
      <x:c r="N47" s="28" t="n">
        <x:v>46234</x:v>
      </x:c>
      <x:c r="O47" s="27" t="n">
        <x:f>NETWORKDAYS(F47,N47)-1</x:f>
        <x:v>0</x:v>
      </x:c>
      <x:c r="P47" s="27" t="str">
        <x:v>Validation and business acceptance gate.</x:v>
      </x:c>
    </x:row>
    <x:row r="48">
      <x:c r="A48" s="27" t="str">
        <x:v>AT-070</x:v>
      </x:c>
      <x:c r="B48" s="27" t="str">
        <x:v>6.1.1</x:v>
      </x:c>
      <x:c r="C48" s="27" t="str">
        <x:v>Business impact and readiness assessment</x:v>
      </x:c>
      <x:c r="D48" s="27" t="str">
        <x:v>Change &amp; Training Lead</x:v>
      </x:c>
      <x:c r="E48" s="28" t="n">
        <x:v>46160</x:v>
      </x:c>
      <x:c r="F48" s="28" t="n">
        <x:v>46185</x:v>
      </x:c>
      <x:c r="G48" s="27" t="n">
        <x:f>MAX(1,NETWORKDAYS(E48,F48))</x:f>
        <x:v>20</x:v>
      </x:c>
      <x:c r="H48" s="27" t="str">
        <x:v>AT-026</x:v>
      </x:c>
      <x:c r="I48" s="27" t="n">
        <x:v>15</x:v>
      </x:c>
      <x:c r="J48" s="27" t="str">
        <x:v>No</x:v>
      </x:c>
      <x:c r="K48" s="27" t="str">
        <x:v>Not Started</x:v>
      </x:c>
      <x:c r="L48" s="27" t="str">
        <x:v>Activity</x:v>
      </x:c>
      <x:c r="M48" s="32" t="n">
        <x:v>0</x:v>
      </x:c>
      <x:c r="N48" s="28" t="n">
        <x:v>46185</x:v>
      </x:c>
      <x:c r="O48" s="27" t="n">
        <x:f>NETWORKDAYS(F48,N48)-1</x:f>
        <x:v>0</x:v>
      </x:c>
      <x:c r="P48" s="27" t="str">
        <x:v>Assess impacted roles and readiness gaps.</x:v>
      </x:c>
    </x:row>
    <x:row r="49">
      <x:c r="A49" s="27" t="str">
        <x:v>AT-071</x:v>
      </x:c>
      <x:c r="B49" s="27" t="str">
        <x:v>6.1.2</x:v>
      </x:c>
      <x:c r="C49" s="27" t="str">
        <x:v>Stakeholder communications and adoption activities</x:v>
      </x:c>
      <x:c r="D49" s="27" t="str">
        <x:v>Change &amp; Training Lead</x:v>
      </x:c>
      <x:c r="E49" s="28" t="n">
        <x:v>46188</x:v>
      </x:c>
      <x:c r="F49" s="28" t="n">
        <x:v>46241</x:v>
      </x:c>
      <x:c r="G49" s="27" t="n">
        <x:f>MAX(1,NETWORKDAYS(E49,F49))</x:f>
        <x:v>40</x:v>
      </x:c>
      <x:c r="H49" s="27" t="str">
        <x:v>AT-070</x:v>
      </x:c>
      <x:c r="I49" s="27" t="n">
        <x:v>10</x:v>
      </x:c>
      <x:c r="J49" s="27" t="str">
        <x:v>No</x:v>
      </x:c>
      <x:c r="K49" s="27" t="str">
        <x:v>Not Started</x:v>
      </x:c>
      <x:c r="L49" s="27" t="str">
        <x:v>Activity</x:v>
      </x:c>
      <x:c r="M49" s="32" t="n">
        <x:v>0</x:v>
      </x:c>
      <x:c r="N49" s="28" t="n">
        <x:v>46241</x:v>
      </x:c>
      <x:c r="O49" s="27" t="n">
        <x:f>NETWORKDAYS(F49,N49)-1</x:f>
        <x:v>0</x:v>
      </x:c>
      <x:c r="P49" s="27" t="str">
        <x:v>Targeted change communications.</x:v>
      </x:c>
    </x:row>
    <x:row r="50">
      <x:c r="A50" s="27" t="str">
        <x:v>AT-072</x:v>
      </x:c>
      <x:c r="B50" s="27" t="str">
        <x:v>6.2.1</x:v>
      </x:c>
      <x:c r="C50" s="27" t="str">
        <x:v>Develop training materials and user guidance</x:v>
      </x:c>
      <x:c r="D50" s="27" t="str">
        <x:v>Change &amp; Training Lead</x:v>
      </x:c>
      <x:c r="E50" s="28" t="n">
        <x:v>46181</x:v>
      </x:c>
      <x:c r="F50" s="28" t="n">
        <x:v>46213</x:v>
      </x:c>
      <x:c r="G50" s="27" t="n">
        <x:f>MAX(1,NETWORKDAYS(E50,F50))</x:f>
        <x:v>25</x:v>
      </x:c>
      <x:c r="H50" s="27" t="str">
        <x:v>AT-053</x:v>
      </x:c>
      <x:c r="I50" s="27" t="n">
        <x:v>10</x:v>
      </x:c>
      <x:c r="J50" s="27" t="str">
        <x:v>No</x:v>
      </x:c>
      <x:c r="K50" s="27" t="str">
        <x:v>Not Started</x:v>
      </x:c>
      <x:c r="L50" s="27" t="str">
        <x:v>Activity</x:v>
      </x:c>
      <x:c r="M50" s="32" t="n">
        <x:v>0</x:v>
      </x:c>
      <x:c r="N50" s="28" t="n">
        <x:v>46213</x:v>
      </x:c>
      <x:c r="O50" s="27" t="n">
        <x:f>NETWORKDAYS(F50,N50)-1</x:f>
        <x:v>0</x:v>
      </x:c>
      <x:c r="P50" s="27" t="str">
        <x:v>Role-based materials.</x:v>
      </x:c>
    </x:row>
    <x:row r="51">
      <x:c r="A51" s="27" t="str">
        <x:v>AT-073</x:v>
      </x:c>
      <x:c r="B51" s="27" t="str">
        <x:v>6.2.2</x:v>
      </x:c>
      <x:c r="C51" s="27" t="str">
        <x:v>Deliver user training and track completion</x:v>
      </x:c>
      <x:c r="D51" s="27" t="str">
        <x:v>Change &amp; Training Lead</x:v>
      </x:c>
      <x:c r="E51" s="28" t="n">
        <x:v>46216</x:v>
      </x:c>
      <x:c r="F51" s="28" t="n">
        <x:v>46241</x:v>
      </x:c>
      <x:c r="G51" s="27" t="n">
        <x:f>MAX(1,NETWORKDAYS(E51,F51))</x:f>
        <x:v>20</x:v>
      </x:c>
      <x:c r="H51" s="27" t="str">
        <x:v>AT-072</x:v>
      </x:c>
      <x:c r="I51" s="27" t="n">
        <x:v>5</x:v>
      </x:c>
      <x:c r="J51" s="27" t="str">
        <x:v>No</x:v>
      </x:c>
      <x:c r="K51" s="27" t="str">
        <x:v>Not Started</x:v>
      </x:c>
      <x:c r="L51" s="27" t="str">
        <x:v>Activity</x:v>
      </x:c>
      <x:c r="M51" s="32" t="n">
        <x:v>0</x:v>
      </x:c>
      <x:c r="N51" s="28" t="n">
        <x:v>46241</x:v>
      </x:c>
      <x:c r="O51" s="27" t="n">
        <x:f>NETWORKDAYS(F51,N51)-1</x:f>
        <x:v>0</x:v>
      </x:c>
      <x:c r="P51" s="27" t="str">
        <x:v>Achieve priority-user readiness threshold.</x:v>
      </x:c>
    </x:row>
    <x:row r="52">
      <x:c r="A52" s="27" t="str">
        <x:v>AT-080</x:v>
      </x:c>
      <x:c r="B52" s="27" t="str">
        <x:v>7.1.2</x:v>
      </x:c>
      <x:c r="C52" s="27" t="str">
        <x:v>Develop cutover and rollback plan</x:v>
      </x:c>
      <x:c r="D52" s="27" t="str">
        <x:v>Validation &amp; Deployment Lead</x:v>
      </x:c>
      <x:c r="E52" s="28" t="n">
        <x:v>46223</x:v>
      </x:c>
      <x:c r="F52" s="28" t="n">
        <x:v>46241</x:v>
      </x:c>
      <x:c r="G52" s="27" t="n">
        <x:f>MAX(1,NETWORKDAYS(E52,F52))</x:f>
        <x:v>15</x:v>
      </x:c>
      <x:c r="H52" s="27" t="str">
        <x:v>AT-061</x:v>
      </x:c>
      <x:c r="I52" s="27" t="n">
        <x:v>5</x:v>
      </x:c>
      <x:c r="J52" s="27" t="str">
        <x:v>No</x:v>
      </x:c>
      <x:c r="K52" s="27" t="str">
        <x:v>Not Started</x:v>
      </x:c>
      <x:c r="L52" s="27" t="str">
        <x:v>Activity</x:v>
      </x:c>
      <x:c r="M52" s="32" t="n">
        <x:v>0</x:v>
      </x:c>
      <x:c r="N52" s="28" t="n">
        <x:v>46241</x:v>
      </x:c>
      <x:c r="O52" s="27" t="n">
        <x:f>NETWORKDAYS(F52,N52)-1</x:f>
        <x:v>0</x:v>
      </x:c>
      <x:c r="P52" s="27" t="str">
        <x:v>Detailed deployment sequencing and rollback.</x:v>
      </x:c>
    </x:row>
    <x:row r="53">
      <x:c r="A53" s="27" t="str">
        <x:v>AT-081</x:v>
      </x:c>
      <x:c r="B53" s="27" t="str">
        <x:v>7.1.1</x:v>
      </x:c>
      <x:c r="C53" s="27" t="str">
        <x:v>Production readiness assessment</x:v>
      </x:c>
      <x:c r="D53" s="27" t="str">
        <x:v>Validation &amp; Deployment Lead</x:v>
      </x:c>
      <x:c r="E53" s="28" t="n">
        <x:v>46237</x:v>
      </x:c>
      <x:c r="F53" s="28" t="n">
        <x:v>46248</x:v>
      </x:c>
      <x:c r="G53" s="27" t="n">
        <x:f>MAX(1,NETWORKDAYS(E53,F53))</x:f>
        <x:v>10</x:v>
      </x:c>
      <x:c r="H53" s="27" t="str">
        <x:v>AT-064,AT-071,AT-073,AT-080</x:v>
      </x:c>
      <x:c r="I53" s="27" t="n">
        <x:v>0</x:v>
      </x:c>
      <x:c r="J53" s="27" t="str">
        <x:v>Yes</x:v>
      </x:c>
      <x:c r="K53" s="27" t="str">
        <x:v>Not Started</x:v>
      </x:c>
      <x:c r="L53" s="27" t="str">
        <x:v>Activity</x:v>
      </x:c>
      <x:c r="M53" s="32" t="n">
        <x:v>0</x:v>
      </x:c>
      <x:c r="N53" s="28" t="n">
        <x:v>46248</x:v>
      </x:c>
      <x:c r="O53" s="27" t="n">
        <x:f>NETWORKDAYS(F53,N53)-1</x:f>
        <x:v>0</x:v>
      </x:c>
      <x:c r="P53" s="27" t="str">
        <x:v>Consolidate quality, technical and business readiness.</x:v>
      </x:c>
    </x:row>
    <x:row r="54">
      <x:c r="A54" s="27" t="str">
        <x:v>AT-082</x:v>
      </x:c>
      <x:c r="B54" s="27" t="str">
        <x:v>7.1.3</x:v>
      </x:c>
      <x:c r="C54" s="27" t="str">
        <x:v>Go / No-Go approval</x:v>
      </x:c>
      <x:c r="D54" s="27" t="str">
        <x:v>Steering Committee</x:v>
      </x:c>
      <x:c r="E54" s="28" t="n">
        <x:v>46251</x:v>
      </x:c>
      <x:c r="F54" s="28" t="n">
        <x:v>46251</x:v>
      </x:c>
      <x:c r="G54" s="27" t="n">
        <x:f>MAX(1,NETWORKDAYS(E54,F54))</x:f>
        <x:v>1</x:v>
      </x:c>
      <x:c r="H54" s="27" t="str">
        <x:v>AT-081</x:v>
      </x:c>
      <x:c r="I54" s="27" t="n">
        <x:v>0</x:v>
      </x:c>
      <x:c r="J54" s="27" t="str">
        <x:v>Yes</x:v>
      </x:c>
      <x:c r="K54" s="27" t="str">
        <x:v>Not Started</x:v>
      </x:c>
      <x:c r="L54" s="27" t="str">
        <x:v>Milestone</x:v>
      </x:c>
      <x:c r="M54" s="32" t="n">
        <x:v>0</x:v>
      </x:c>
      <x:c r="N54" s="28" t="n">
        <x:v>46251</x:v>
      </x:c>
      <x:c r="O54" s="27" t="n">
        <x:f>NETWORKDAYS(F54,N54)-1</x:f>
        <x:v>0</x:v>
      </x:c>
      <x:c r="P54" s="27" t="str">
        <x:v>Formal production authorization.</x:v>
      </x:c>
    </x:row>
    <x:row r="55">
      <x:c r="A55" s="27" t="str">
        <x:v>AT-083</x:v>
      </x:c>
      <x:c r="B55" s="27" t="str">
        <x:v>4.2.4</x:v>
      </x:c>
      <x:c r="C55" s="27" t="str">
        <x:v>Production data migration and reconciliation</x:v>
      </x:c>
      <x:c r="D55" s="27" t="str">
        <x:v>Integration &amp; Data Migration Lead</x:v>
      </x:c>
      <x:c r="E55" s="28" t="n">
        <x:v>46254</x:v>
      </x:c>
      <x:c r="F55" s="28" t="n">
        <x:v>46255</x:v>
      </x:c>
      <x:c r="G55" s="27" t="n">
        <x:f>MAX(1,NETWORKDAYS(E55,F55))</x:f>
        <x:v>2</x:v>
      </x:c>
      <x:c r="H55" s="27" t="str">
        <x:v>AT-082,AT-049</x:v>
      </x:c>
      <x:c r="I55" s="27" t="n">
        <x:v>0</x:v>
      </x:c>
      <x:c r="J55" s="27" t="str">
        <x:v>Yes</x:v>
      </x:c>
      <x:c r="K55" s="27" t="str">
        <x:v>Not Started</x:v>
      </x:c>
      <x:c r="L55" s="27" t="str">
        <x:v>Activity</x:v>
      </x:c>
      <x:c r="M55" s="32" t="n">
        <x:v>0</x:v>
      </x:c>
      <x:c r="N55" s="28" t="n">
        <x:v>46255</x:v>
      </x:c>
      <x:c r="O55" s="27" t="n">
        <x:f>NETWORKDAYS(F55,N55)-1</x:f>
        <x:v>0</x:v>
      </x:c>
      <x:c r="P55" s="27" t="str">
        <x:v>Production migration within release window.</x:v>
      </x:c>
    </x:row>
    <x:row r="56">
      <x:c r="A56" s="27" t="str">
        <x:v>AT-084</x:v>
      </x:c>
      <x:c r="B56" s="27" t="str">
        <x:v>7.2.1</x:v>
      </x:c>
      <x:c r="C56" s="27" t="str">
        <x:v>Production application and integration deployment</x:v>
      </x:c>
      <x:c r="D56" s="27" t="str">
        <x:v>Validation &amp; Deployment Lead</x:v>
      </x:c>
      <x:c r="E56" s="28" t="n">
        <x:v>46255</x:v>
      </x:c>
      <x:c r="F56" s="28" t="n">
        <x:v>46255</x:v>
      </x:c>
      <x:c r="G56" s="27" t="n">
        <x:f>MAX(1,NETWORKDAYS(E56,F56))</x:f>
        <x:v>1</x:v>
      </x:c>
      <x:c r="H56" s="27" t="str">
        <x:v>AT-082</x:v>
      </x:c>
      <x:c r="I56" s="27" t="n">
        <x:v>0</x:v>
      </x:c>
      <x:c r="J56" s="27" t="str">
        <x:v>Yes</x:v>
      </x:c>
      <x:c r="K56" s="27" t="str">
        <x:v>Not Started</x:v>
      </x:c>
      <x:c r="L56" s="27" t="str">
        <x:v>Milestone</x:v>
      </x:c>
      <x:c r="M56" s="32" t="n">
        <x:v>0</x:v>
      </x:c>
      <x:c r="N56" s="28" t="n">
        <x:v>46255</x:v>
      </x:c>
      <x:c r="O56" s="27" t="n">
        <x:f>NETWORKDAYS(F56,N56)-1</x:f>
        <x:v>0</x:v>
      </x:c>
      <x:c r="P56" s="27" t="str">
        <x:v>Production Go-Live.</x:v>
      </x:c>
    </x:row>
    <x:row r="57">
      <x:c r="A57" s="27" t="str">
        <x:v>AT-085</x:v>
      </x:c>
      <x:c r="B57" s="27" t="str">
        <x:v>7.2.2</x:v>
      </x:c>
      <x:c r="C57" s="27" t="str">
        <x:v>Production verification</x:v>
      </x:c>
      <x:c r="D57" s="27" t="str">
        <x:v>Validation &amp; Deployment Lead</x:v>
      </x:c>
      <x:c r="E57" s="28" t="n">
        <x:v>46258</x:v>
      </x:c>
      <x:c r="F57" s="28" t="n">
        <x:v>46258</x:v>
      </x:c>
      <x:c r="G57" s="27" t="n">
        <x:f>MAX(1,NETWORKDAYS(E57,F57))</x:f>
        <x:v>1</x:v>
      </x:c>
      <x:c r="H57" s="27" t="str">
        <x:v>AT-083,AT-084</x:v>
      </x:c>
      <x:c r="I57" s="27" t="n">
        <x:v>0</x:v>
      </x:c>
      <x:c r="J57" s="27" t="str">
        <x:v>Yes</x:v>
      </x:c>
      <x:c r="K57" s="27" t="str">
        <x:v>Not Started</x:v>
      </x:c>
      <x:c r="L57" s="27" t="str">
        <x:v>Milestone</x:v>
      </x:c>
      <x:c r="M57" s="32" t="n">
        <x:v>0</x:v>
      </x:c>
      <x:c r="N57" s="28" t="n">
        <x:v>46258</x:v>
      </x:c>
      <x:c r="O57" s="27" t="n">
        <x:f>NETWORKDAYS(F57,N57)-1</x:f>
        <x:v>0</x:v>
      </x:c>
      <x:c r="P57" s="27" t="str">
        <x:v>Confirm critical production workflows and interfaces.</x:v>
      </x:c>
    </x:row>
    <x:row r="58">
      <x:c r="A58" s="27" t="str">
        <x:v>AT-090</x:v>
      </x:c>
      <x:c r="B58" s="27" t="str">
        <x:v>7.3.1</x:v>
      </x:c>
      <x:c r="C58" s="27" t="str">
        <x:v>Hypercare incident management</x:v>
      </x:c>
      <x:c r="D58" s="27" t="str">
        <x:v>Validation &amp; Deployment Lead</x:v>
      </x:c>
      <x:c r="E58" s="28" t="n">
        <x:v>46258</x:v>
      </x:c>
      <x:c r="F58" s="28" t="n">
        <x:v>46283</x:v>
      </x:c>
      <x:c r="G58" s="27" t="n">
        <x:f>MAX(1,NETWORKDAYS(E58,F58))</x:f>
        <x:v>20</x:v>
      </x:c>
      <x:c r="H58" s="27" t="str">
        <x:v>AT-085</x:v>
      </x:c>
      <x:c r="I58" s="27" t="n">
        <x:v>0</x:v>
      </x:c>
      <x:c r="J58" s="27" t="str">
        <x:v>Yes</x:v>
      </x:c>
      <x:c r="K58" s="27" t="str">
        <x:v>Not Started</x:v>
      </x:c>
      <x:c r="L58" s="27" t="str">
        <x:v>Activity</x:v>
      </x:c>
      <x:c r="M58" s="32" t="n">
        <x:v>0</x:v>
      </x:c>
      <x:c r="N58" s="28" t="n">
        <x:v>46283</x:v>
      </x:c>
      <x:c r="O58" s="27" t="n">
        <x:f>NETWORKDAYS(F58,N58)-1</x:f>
        <x:v>0</x:v>
      </x:c>
      <x:c r="P58" s="27" t="str">
        <x:v>Four-week structured stabilization period.</x:v>
      </x:c>
    </x:row>
    <x:row r="59">
      <x:c r="A59" s="27" t="str">
        <x:v>AT-091</x:v>
      </x:c>
      <x:c r="B59" s="27" t="str">
        <x:v>7.3.2</x:v>
      </x:c>
      <x:c r="C59" s="27" t="str">
        <x:v>Hypercare exit assessment</x:v>
      </x:c>
      <x:c r="D59" s="27" t="str">
        <x:v>Validation &amp; Deployment Lead</x:v>
      </x:c>
      <x:c r="E59" s="28" t="n">
        <x:v>46282</x:v>
      </x:c>
      <x:c r="F59" s="28" t="n">
        <x:v>46283</x:v>
      </x:c>
      <x:c r="G59" s="27" t="n">
        <x:f>MAX(1,NETWORKDAYS(E59,F59))</x:f>
        <x:v>2</x:v>
      </x:c>
      <x:c r="H59" s="27" t="str">
        <x:v>AT-090</x:v>
      </x:c>
      <x:c r="I59" s="27" t="n">
        <x:v>0</x:v>
      </x:c>
      <x:c r="J59" s="27" t="str">
        <x:v>Yes</x:v>
      </x:c>
      <x:c r="K59" s="27" t="str">
        <x:v>Not Started</x:v>
      </x:c>
      <x:c r="L59" s="27" t="str">
        <x:v>Activity</x:v>
      </x:c>
      <x:c r="M59" s="32" t="n">
        <x:v>0</x:v>
      </x:c>
      <x:c r="N59" s="28" t="n">
        <x:v>46283</x:v>
      </x:c>
      <x:c r="O59" s="27" t="n">
        <x:f>NETWORKDAYS(F59,N59)-1</x:f>
        <x:v>0</x:v>
      </x:c>
      <x:c r="P59" s="27" t="str">
        <x:v>Assess exit criteria and residual items.</x:v>
      </x:c>
    </x:row>
    <x:row r="60">
      <x:c r="A60" s="27" t="str">
        <x:v>AT-092</x:v>
      </x:c>
      <x:c r="B60" s="27" t="str">
        <x:v>7.3.3</x:v>
      </x:c>
      <x:c r="C60" s="27" t="str">
        <x:v>Operational handover</x:v>
      </x:c>
      <x:c r="D60" s="27" t="str">
        <x:v>Operations Lead</x:v>
      </x:c>
      <x:c r="E60" s="28" t="n">
        <x:v>46283</x:v>
      </x:c>
      <x:c r="F60" s="28" t="n">
        <x:v>46283</x:v>
      </x:c>
      <x:c r="G60" s="27" t="n">
        <x:f>MAX(1,NETWORKDAYS(E60,F60))</x:f>
        <x:v>1</x:v>
      </x:c>
      <x:c r="H60" s="27" t="str">
        <x:v>AT-091</x:v>
      </x:c>
      <x:c r="I60" s="27" t="n">
        <x:v>0</x:v>
      </x:c>
      <x:c r="J60" s="27" t="str">
        <x:v>Yes</x:v>
      </x:c>
      <x:c r="K60" s="27" t="str">
        <x:v>Not Started</x:v>
      </x:c>
      <x:c r="L60" s="27" t="str">
        <x:v>Milestone</x:v>
      </x:c>
      <x:c r="M60" s="32" t="n">
        <x:v>0</x:v>
      </x:c>
      <x:c r="N60" s="28" t="n">
        <x:v>46283</x:v>
      </x:c>
      <x:c r="O60" s="27" t="n">
        <x:f>NETWORKDAYS(F60,N60)-1</x:f>
        <x:v>0</x:v>
      </x:c>
      <x:c r="P60" s="27" t="str">
        <x:v>Formal BAU transition.</x:v>
      </x:c>
    </x:row>
    <x:row r="61">
      <x:c r="A61" s="27" t="str">
        <x:v>AT-100</x:v>
      </x:c>
      <x:c r="B61" s="27" t="str">
        <x:v>8.1.1</x:v>
      </x:c>
      <x:c r="C61" s="27" t="str">
        <x:v>Confirm final deliverable acceptance</x:v>
      </x:c>
      <x:c r="D61" s="27" t="str">
        <x:v>Project Manager</x:v>
      </x:c>
      <x:c r="E61" s="28" t="n">
        <x:v>46286</x:v>
      </x:c>
      <x:c r="F61" s="28" t="n">
        <x:v>46288</x:v>
      </x:c>
      <x:c r="G61" s="27" t="n">
        <x:f>MAX(1,NETWORKDAYS(E61,F61))</x:f>
        <x:v>3</x:v>
      </x:c>
      <x:c r="H61" s="27" t="str">
        <x:v>AT-092</x:v>
      </x:c>
      <x:c r="I61" s="27" t="n">
        <x:v>0</x:v>
      </x:c>
      <x:c r="J61" s="27" t="str">
        <x:v>Yes</x:v>
      </x:c>
      <x:c r="K61" s="27" t="str">
        <x:v>Not Started</x:v>
      </x:c>
      <x:c r="L61" s="27" t="str">
        <x:v>Activity</x:v>
      </x:c>
      <x:c r="M61" s="32" t="n">
        <x:v>0</x:v>
      </x:c>
      <x:c r="N61" s="28" t="n">
        <x:v>46288</x:v>
      </x:c>
      <x:c r="O61" s="27" t="n">
        <x:f>NETWORKDAYS(F61,N61)-1</x:f>
        <x:v>0</x:v>
      </x:c>
      <x:c r="P61" s="27" t="str">
        <x:v>Confirm final acceptance and residual ownership.</x:v>
      </x:c>
    </x:row>
    <x:row r="62">
      <x:c r="A62" s="27" t="str">
        <x:v>AT-101</x:v>
      </x:c>
      <x:c r="B62" s="27" t="str">
        <x:v>8.1.2</x:v>
      </x:c>
      <x:c r="C62" s="27" t="str">
        <x:v>Financial and procurement closeout</x:v>
      </x:c>
      <x:c r="D62" s="27" t="str">
        <x:v>Project Manager</x:v>
      </x:c>
      <x:c r="E62" s="28" t="n">
        <x:v>46286</x:v>
      </x:c>
      <x:c r="F62" s="28" t="n">
        <x:v>46290</x:v>
      </x:c>
      <x:c r="G62" s="27" t="n">
        <x:f>MAX(1,NETWORKDAYS(E62,F62))</x:f>
        <x:v>5</x:v>
      </x:c>
      <x:c r="H62" s="27" t="str">
        <x:v>AT-092</x:v>
      </x:c>
      <x:c r="I62" s="27" t="n">
        <x:v>3</x:v>
      </x:c>
      <x:c r="J62" s="27" t="str">
        <x:v>No</x:v>
      </x:c>
      <x:c r="K62" s="27" t="str">
        <x:v>Not Started</x:v>
      </x:c>
      <x:c r="L62" s="27" t="str">
        <x:v>Activity</x:v>
      </x:c>
      <x:c r="M62" s="32" t="n">
        <x:v>0</x:v>
      </x:c>
      <x:c r="N62" s="28" t="n">
        <x:v>46290</x:v>
      </x:c>
      <x:c r="O62" s="27" t="n">
        <x:f>NETWORKDAYS(F62,N62)-1</x:f>
        <x:v>0</x:v>
      </x:c>
      <x:c r="P62" s="27" t="str">
        <x:v>Reconcile commitments and commercial closure.</x:v>
      </x:c>
    </x:row>
    <x:row r="63">
      <x:c r="A63" s="27" t="str">
        <x:v>AT-102</x:v>
      </x:c>
      <x:c r="B63" s="27" t="str">
        <x:v>8.1.3</x:v>
      </x:c>
      <x:c r="C63" s="27" t="str">
        <x:v>Lessons learned workshop and documentation</x:v>
      </x:c>
      <x:c r="D63" s="27" t="str">
        <x:v>Project Manager</x:v>
      </x:c>
      <x:c r="E63" s="28" t="n">
        <x:v>46286</x:v>
      </x:c>
      <x:c r="F63" s="28" t="n">
        <x:v>46290</x:v>
      </x:c>
      <x:c r="G63" s="27" t="n">
        <x:f>MAX(1,NETWORKDAYS(E63,F63))</x:f>
        <x:v>5</x:v>
      </x:c>
      <x:c r="H63" s="27" t="str">
        <x:v>AT-092</x:v>
      </x:c>
      <x:c r="I63" s="27" t="n">
        <x:v>3</x:v>
      </x:c>
      <x:c r="J63" s="27" t="str">
        <x:v>No</x:v>
      </x:c>
      <x:c r="K63" s="27" t="str">
        <x:v>Not Started</x:v>
      </x:c>
      <x:c r="L63" s="27" t="str">
        <x:v>Activity</x:v>
      </x:c>
      <x:c r="M63" s="32" t="n">
        <x:v>0</x:v>
      </x:c>
      <x:c r="N63" s="28" t="n">
        <x:v>46290</x:v>
      </x:c>
      <x:c r="O63" s="27" t="n">
        <x:f>NETWORKDAYS(F63,N63)-1</x:f>
        <x:v>0</x:v>
      </x:c>
      <x:c r="P63" s="27" t="str">
        <x:v>Capture delivery and governance lessons.</x:v>
      </x:c>
    </x:row>
    <x:row r="64">
      <x:c r="A64" s="27" t="str">
        <x:v>AT-103</x:v>
      </x:c>
      <x:c r="B64" s="27" t="str">
        <x:v>8.1.4</x:v>
      </x:c>
      <x:c r="C64" s="27" t="str">
        <x:v>Benefits measurement handover</x:v>
      </x:c>
      <x:c r="D64" s="27" t="str">
        <x:v>Project Manager</x:v>
      </x:c>
      <x:c r="E64" s="28" t="n">
        <x:v>46289</x:v>
      </x:c>
      <x:c r="F64" s="28" t="n">
        <x:v>46293</x:v>
      </x:c>
      <x:c r="G64" s="27" t="n">
        <x:f>MAX(1,NETWORKDAYS(E64,F64))</x:f>
        <x:v>3</x:v>
      </x:c>
      <x:c r="H64" s="27" t="str">
        <x:v>AT-100</x:v>
      </x:c>
      <x:c r="I64" s="27" t="n">
        <x:v>0</x:v>
      </x:c>
      <x:c r="J64" s="27" t="str">
        <x:v>Yes</x:v>
      </x:c>
      <x:c r="K64" s="27" t="str">
        <x:v>Not Started</x:v>
      </x:c>
      <x:c r="L64" s="27" t="str">
        <x:v>Activity</x:v>
      </x:c>
      <x:c r="M64" s="32" t="n">
        <x:v>0</x:v>
      </x:c>
      <x:c r="N64" s="28" t="n">
        <x:v>46293</x:v>
      </x:c>
      <x:c r="O64" s="27" t="n">
        <x:f>NETWORKDAYS(F64,N64)-1</x:f>
        <x:v>0</x:v>
      </x:c>
      <x:c r="P64" s="27" t="str">
        <x:v>Transfer benefits tracking ownership.</x:v>
      </x:c>
    </x:row>
    <x:row r="65">
      <x:c r="A65" s="27" t="str">
        <x:v>AT-104</x:v>
      </x:c>
      <x:c r="B65" s="27" t="str">
        <x:v>8.1.5</x:v>
      </x:c>
      <x:c r="C65" s="27" t="str">
        <x:v>Prepare project closure report</x:v>
      </x:c>
      <x:c r="D65" s="27" t="str">
        <x:v>Project Manager</x:v>
      </x:c>
      <x:c r="E65" s="28" t="n">
        <x:v>46293</x:v>
      </x:c>
      <x:c r="F65" s="28" t="n">
        <x:v>46294</x:v>
      </x:c>
      <x:c r="G65" s="27" t="n">
        <x:f>MAX(1,NETWORKDAYS(E65,F65))</x:f>
        <x:v>2</x:v>
      </x:c>
      <x:c r="H65" s="27" t="str">
        <x:v>AT-100,AT-101,AT-102,AT-103</x:v>
      </x:c>
      <x:c r="I65" s="27" t="n">
        <x:v>0</x:v>
      </x:c>
      <x:c r="J65" s="27" t="str">
        <x:v>Yes</x:v>
      </x:c>
      <x:c r="K65" s="27" t="str">
        <x:v>Not Started</x:v>
      </x:c>
      <x:c r="L65" s="27" t="str">
        <x:v>Activity</x:v>
      </x:c>
      <x:c r="M65" s="32" t="n">
        <x:v>0</x:v>
      </x:c>
      <x:c r="N65" s="28" t="n">
        <x:v>46294</x:v>
      </x:c>
      <x:c r="O65" s="27" t="n">
        <x:f>NETWORKDAYS(F65,N65)-1</x:f>
        <x:v>0</x:v>
      </x:c>
      <x:c r="P65" s="27" t="str">
        <x:v>Final performance and closure summary.</x:v>
      </x:c>
    </x:row>
    <x:row r="66">
      <x:c r="A66" s="27" t="str">
        <x:v>AT-105</x:v>
      </x:c>
      <x:c r="B66" s="27" t="str">
        <x:v>8.1.5</x:v>
      </x:c>
      <x:c r="C66" s="27" t="str">
        <x:v>Project closure approved</x:v>
      </x:c>
      <x:c r="D66" s="27" t="str">
        <x:v>Executive Sponsor</x:v>
      </x:c>
      <x:c r="E66" s="28" t="n">
        <x:v>46295</x:v>
      </x:c>
      <x:c r="F66" s="28" t="n">
        <x:v>46295</x:v>
      </x:c>
      <x:c r="G66" s="27" t="n">
        <x:f>MAX(1,NETWORKDAYS(E66,F66))</x:f>
        <x:v>1</x:v>
      </x:c>
      <x:c r="H66" s="27" t="str">
        <x:v>AT-104</x:v>
      </x:c>
      <x:c r="I66" s="27" t="n">
        <x:v>0</x:v>
      </x:c>
      <x:c r="J66" s="27" t="str">
        <x:v>Yes</x:v>
      </x:c>
      <x:c r="K66" s="27" t="str">
        <x:v>Not Started</x:v>
      </x:c>
      <x:c r="L66" s="27" t="str">
        <x:v>Milestone</x:v>
      </x:c>
      <x:c r="M66" s="32" t="n">
        <x:v>0</x:v>
      </x:c>
      <x:c r="N66" s="28" t="n">
        <x:v>46295</x:v>
      </x:c>
      <x:c r="O66" s="27" t="n">
        <x:f>NETWORKDAYS(F66,N66)-1</x:f>
        <x:v>0</x:v>
      </x:c>
      <x:c r="P66" s="27" t="str">
        <x:v>Formal project completion.</x:v>
      </x:c>
    </x:row>
  </x:sheetData>
  <x:conditionalFormatting sqref="J2:J66">
    <x:cfRule type="expression" dxfId="0" priority="1">
      <x:formula>J2="Yes"</x:formula>
    </x:cfRule>
  </x:conditionalFormatting>
  <x:conditionalFormatting sqref="L2:L66">
    <x:cfRule type="expression" dxfId="1" priority="2">
      <x:formula>L2="Milestone"</x:formula>
    </x:cfRule>
  </x:conditionalFormatting>
  <x:conditionalFormatting sqref="O2:O66">
    <x:cfRule type="cellIs" dxfId="2" priority="3" operator="greaterThan">
      <x:formula>0</x:formula>
    </x:cfRule>
  </x:conditionalFormatting>
  <x:dataValidations count="3">
    <x:dataValidation type="list" sqref="J2:J200">
      <x:formula1>"Yes,No"</x:formula1>
    </x:dataValidation>
    <x:dataValidation type="list" sqref="K2:K200">
      <x:formula1>"Not Started,In Progress,Complete,On Hold"</x:formula1>
    </x:dataValidation>
    <x:dataValidation type="list" sqref="L2:L200">
      <x:formula1>"Activity,Milestone"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6f0e055dac4f0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16" hidden="0" customWidth="1"/>
    <x:col min="5" max="5" width="26" hidden="0" customWidth="1"/>
    <x:col min="6" max="6" width="22" hidden="0" customWidth="1"/>
    <x:col min="7" max="7" width="10" hidden="0" customWidth="1"/>
    <x:col min="8" max="8" width="32" hidden="0" customWidth="1"/>
  </x:cols>
  <x:sheetData>
    <x:row r="1">
      <x:c r="A1" s="14" t="str">
        <x:v>Project Atlas — Baseline Milestones</x:v>
      </x:c>
      <x:c r="B1" s="14"/>
      <x:c r="C1" s="14"/>
      <x:c r="D1" s="14"/>
      <x:c r="E1" s="14"/>
      <x:c r="F1" s="14"/>
      <x:c r="G1" s="14"/>
      <x:c r="H1" s="14"/>
    </x:row>
    <x:row r="3">
      <x:c r="A3" s="23" t="str">
        <x:v>Milestone ID</x:v>
      </x:c>
      <x:c r="B3" s="23" t="str">
        <x:v>WBS ID</x:v>
      </x:c>
      <x:c r="C3" s="23" t="str">
        <x:v>Milestone</x:v>
      </x:c>
      <x:c r="D3" s="23" t="str">
        <x:v>Baseline Date</x:v>
      </x:c>
      <x:c r="E3" s="23" t="str">
        <x:v>Owner</x:v>
      </x:c>
      <x:c r="F3" s="23" t="str">
        <x:v>Predecessor(s)</x:v>
      </x:c>
      <x:c r="G3" s="23" t="str">
        <x:v>Critical?</x:v>
      </x:c>
      <x:c r="H3" s="23" t="str">
        <x:v>Governance Meaning</x:v>
      </x:c>
    </x:row>
    <x:row r="4">
      <x:c r="A4" s="27" t="str">
        <x:v>AT-002</x:v>
      </x:c>
      <x:c r="B4" s="27" t="str">
        <x:v>1.2.3</x:v>
      </x:c>
      <x:c r="C4" s="27" t="str">
        <x:v>Project Charter approval milestone</x:v>
      </x:c>
      <x:c r="D4" s="28" t="n">
        <x:v>46031</x:v>
      </x:c>
      <x:c r="E4" s="27" t="str">
        <x:v>Executive Sponsor</x:v>
      </x:c>
      <x:c r="F4" s="27" t="str">
        <x:v>AT-001</x:v>
      </x:c>
      <x:c r="G4" s="27" t="str">
        <x:v>Yes</x:v>
      </x:c>
      <x:c r="H4" s="27" t="str">
        <x:v>Formal project authorization</x:v>
      </x:c>
    </x:row>
    <x:row r="5">
      <x:c r="A5" s="27" t="str">
        <x:v>AT-014</x:v>
      </x:c>
      <x:c r="B5" s="27" t="str">
        <x:v>2.1.4</x:v>
      </x:c>
      <x:c r="C5" s="27" t="str">
        <x:v>Requirements baseline approved</x:v>
      </x:c>
      <x:c r="D5" s="28" t="n">
        <x:v>46059</x:v>
      </x:c>
      <x:c r="E5" s="27" t="str">
        <x:v>Business Owner</x:v>
      </x:c>
      <x:c r="F5" s="27" t="str">
        <x:v>AT-013</x:v>
      </x:c>
      <x:c r="G5" s="27" t="str">
        <x:v>Yes</x:v>
      </x:c>
      <x:c r="H5" s="27" t="str">
        <x:v>Requirements stage gate</x:v>
      </x:c>
    </x:row>
    <x:row r="6">
      <x:c r="A6" s="27" t="str">
        <x:v>AT-026</x:v>
      </x:c>
      <x:c r="B6" s="27" t="str">
        <x:v>2.2.6</x:v>
      </x:c>
      <x:c r="C6" s="27" t="str">
        <x:v>Solution design approved</x:v>
      </x:c>
      <x:c r="D6" s="28" t="n">
        <x:v>46087</x:v>
      </x:c>
      <x:c r="E6" s="27" t="str">
        <x:v>Technology Lead</x:v>
      </x:c>
      <x:c r="F6" s="27" t="str">
        <x:v>AT-025</x:v>
      </x:c>
      <x:c r="G6" s="27" t="str">
        <x:v>Yes</x:v>
      </x:c>
      <x:c r="H6" s="27" t="str">
        <x:v>Design stage gate</x:v>
      </x:c>
    </x:row>
    <x:row r="7">
      <x:c r="A7" s="27" t="str">
        <x:v>AT-038</x:v>
      </x:c>
      <x:c r="B7" s="27" t="str">
        <x:v>3.3.2</x:v>
      </x:c>
      <x:c r="C7" s="27" t="str">
        <x:v>Application build complete</x:v>
      </x:c>
      <x:c r="D7" s="28" t="n">
        <x:v>46150</x:v>
      </x:c>
      <x:c r="E7" s="27" t="str">
        <x:v>Technology Lead</x:v>
      </x:c>
      <x:c r="F7" s="27" t="str">
        <x:v>AT-037</x:v>
      </x:c>
      <x:c r="G7" s="27" t="str">
        <x:v>Yes</x:v>
      </x:c>
      <x:c r="H7" s="27" t="str">
        <x:v>Application build completion</x:v>
      </x:c>
    </x:row>
    <x:row r="8">
      <x:c r="A8" s="27" t="str">
        <x:v>AT-045</x:v>
      </x:c>
      <x:c r="B8" s="27" t="str">
        <x:v>4.1</x:v>
      </x:c>
      <x:c r="C8" s="27" t="str">
        <x:v>Integration build complete</x:v>
      </x:c>
      <x:c r="D8" s="28" t="n">
        <x:v>46150</x:v>
      </x:c>
      <x:c r="E8" s="27" t="str">
        <x:v>Technology Lead</x:v>
      </x:c>
      <x:c r="F8" s="27" t="str">
        <x:v>AT-044</x:v>
      </x:c>
      <x:c r="G8" s="27" t="str">
        <x:v>Yes</x:v>
      </x:c>
      <x:c r="H8" s="27" t="str">
        <x:v>Integration build completion</x:v>
      </x:c>
    </x:row>
    <x:row r="9">
      <x:c r="A9" s="27" t="str">
        <x:v>AT-057</x:v>
      </x:c>
      <x:c r="B9" s="27" t="str">
        <x:v>5.2</x:v>
      </x:c>
      <x:c r="C9" s="27" t="str">
        <x:v>Technical testing complete</x:v>
      </x:c>
      <x:c r="D9" s="28" t="n">
        <x:v>46192</x:v>
      </x:c>
      <x:c r="E9" s="27" t="str">
        <x:v>Technology Lead</x:v>
      </x:c>
      <x:c r="F9" s="27" t="str">
        <x:v>AT-053,AT-054,AT-055,AT-056</x:v>
      </x:c>
      <x:c r="G9" s="27" t="str">
        <x:v>Yes</x:v>
      </x:c>
      <x:c r="H9" s="27" t="str">
        <x:v>Technical verification stage gate</x:v>
      </x:c>
    </x:row>
    <x:row r="10">
      <x:c r="A10" s="27" t="str">
        <x:v>AT-064</x:v>
      </x:c>
      <x:c r="B10" s="27" t="str">
        <x:v>5.3</x:v>
      </x:c>
      <x:c r="C10" s="27" t="str">
        <x:v>Validation and UAT complete</x:v>
      </x:c>
      <x:c r="D10" s="28" t="n">
        <x:v>46234</x:v>
      </x:c>
      <x:c r="E10" s="27" t="str">
        <x:v>Quality / Compliance Lead</x:v>
      </x:c>
      <x:c r="F10" s="27" t="str">
        <x:v>AT-063</x:v>
      </x:c>
      <x:c r="G10" s="27" t="str">
        <x:v>Yes</x:v>
      </x:c>
      <x:c r="H10" s="27" t="str">
        <x:v>Validation and business acceptance gate</x:v>
      </x:c>
    </x:row>
    <x:row r="11">
      <x:c r="A11" s="27" t="str">
        <x:v>AT-082</x:v>
      </x:c>
      <x:c r="B11" s="27" t="str">
        <x:v>7.1.3</x:v>
      </x:c>
      <x:c r="C11" s="27" t="str">
        <x:v>Go / No-Go approval</x:v>
      </x:c>
      <x:c r="D11" s="28" t="n">
        <x:v>46251</x:v>
      </x:c>
      <x:c r="E11" s="27" t="str">
        <x:v>Steering Committee</x:v>
      </x:c>
      <x:c r="F11" s="27" t="str">
        <x:v>AT-081</x:v>
      </x:c>
      <x:c r="G11" s="27" t="str">
        <x:v>Yes</x:v>
      </x:c>
      <x:c r="H11" s="27" t="str">
        <x:v>Production authorization</x:v>
      </x:c>
    </x:row>
    <x:row r="12">
      <x:c r="A12" s="27" t="str">
        <x:v>AT-084</x:v>
      </x:c>
      <x:c r="B12" s="27" t="str">
        <x:v>7.2.1</x:v>
      </x:c>
      <x:c r="C12" s="27" t="str">
        <x:v>Production application and integration deployment</x:v>
      </x:c>
      <x:c r="D12" s="28" t="n">
        <x:v>46255</x:v>
      </x:c>
      <x:c r="E12" s="27" t="str">
        <x:v>Validation &amp; Deployment Lead</x:v>
      </x:c>
      <x:c r="F12" s="27" t="str">
        <x:v>AT-082</x:v>
      </x:c>
      <x:c r="G12" s="27" t="str">
        <x:v>Yes</x:v>
      </x:c>
      <x:c r="H12" s="27" t="str">
        <x:v>Production Go-Live</x:v>
      </x:c>
    </x:row>
    <x:row r="13">
      <x:c r="A13" s="27" t="str">
        <x:v>AT-085</x:v>
      </x:c>
      <x:c r="B13" s="27" t="str">
        <x:v>7.2.2</x:v>
      </x:c>
      <x:c r="C13" s="27" t="str">
        <x:v>Production verification</x:v>
      </x:c>
      <x:c r="D13" s="28" t="n">
        <x:v>46258</x:v>
      </x:c>
      <x:c r="E13" s="27" t="str">
        <x:v>Validation &amp; Deployment Lead</x:v>
      </x:c>
      <x:c r="F13" s="27" t="str">
        <x:v>AT-083,AT-084</x:v>
      </x:c>
      <x:c r="G13" s="27" t="str">
        <x:v>Yes</x:v>
      </x:c>
      <x:c r="H13" s="27" t="str">
        <x:v>Production verification</x:v>
      </x:c>
    </x:row>
    <x:row r="14">
      <x:c r="A14" s="27" t="str">
        <x:v>AT-092</x:v>
      </x:c>
      <x:c r="B14" s="27" t="str">
        <x:v>7.3.3</x:v>
      </x:c>
      <x:c r="C14" s="27" t="str">
        <x:v>Operational handover</x:v>
      </x:c>
      <x:c r="D14" s="28" t="n">
        <x:v>46283</x:v>
      </x:c>
      <x:c r="E14" s="27" t="str">
        <x:v>Operations Lead</x:v>
      </x:c>
      <x:c r="F14" s="27" t="str">
        <x:v>AT-091</x:v>
      </x:c>
      <x:c r="G14" s="27" t="str">
        <x:v>Yes</x:v>
      </x:c>
      <x:c r="H14" s="27" t="str">
        <x:v>BAU transition</x:v>
      </x:c>
    </x:row>
    <x:row r="15">
      <x:c r="A15" s="27" t="str">
        <x:v>AT-105</x:v>
      </x:c>
      <x:c r="B15" s="27" t="str">
        <x:v>8.1.5</x:v>
      </x:c>
      <x:c r="C15" s="27" t="str">
        <x:v>Project closure approved</x:v>
      </x:c>
      <x:c r="D15" s="28" t="n">
        <x:v>46295</x:v>
      </x:c>
      <x:c r="E15" s="27" t="str">
        <x:v>Executive Sponsor</x:v>
      </x:c>
      <x:c r="F15" s="27" t="str">
        <x:v>AT-104</x:v>
      </x:c>
      <x:c r="G15" s="27" t="str">
        <x:v>Yes</x:v>
      </x:c>
      <x:c r="H15" s="27" t="str">
        <x:v>Formal project completion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5e997403d4d4377"/>
  </x:tableParts>
</x:worksheet>
</file>

<file path=xl/worksheets/sheet4.xml><?xml version="1.0" encoding="utf-8"?>
<x:worksheet xmlns:x="http://schemas.openxmlformats.org/spreadsheetml/2006/main">
  <x:sheetViews>
    <x:sheetView workbookViewId="0">
      <x:pane xSplit="6" ySplit="3" topLeftCell="G4" activePane="bottomRight" state="frozen"/>
    </x:sheetView>
  </x:sheetViews>
  <x:sheetFormatPr defaultRowHeight="15"/>
  <x:cols>
    <x:col min="7" max="7" width="4.5" hidden="0" customWidth="1"/>
    <x:col min="8" max="8" width="4.5" hidden="0" customWidth="1"/>
    <x:col min="9" max="9" width="4.5" hidden="0" customWidth="1"/>
    <x:col min="10" max="10" width="4.5" hidden="0" customWidth="1"/>
    <x:col min="11" max="11" width="4.5" hidden="0" customWidth="1"/>
    <x:col min="12" max="12" width="4.5" hidden="0" customWidth="1"/>
    <x:col min="13" max="13" width="4.5" hidden="0" customWidth="1"/>
    <x:col min="14" max="14" width="4.5" hidden="0" customWidth="1"/>
    <x:col min="15" max="15" width="4.5" hidden="0" customWidth="1"/>
    <x:col min="16" max="16" width="4.5" hidden="0" customWidth="1"/>
    <x:col min="17" max="17" width="4.5" hidden="0" customWidth="1"/>
    <x:col min="18" max="18" width="4.5" hidden="0" customWidth="1"/>
    <x:col min="19" max="19" width="4.5" hidden="0" customWidth="1"/>
    <x:col min="20" max="20" width="4.5" hidden="0" customWidth="1"/>
    <x:col min="21" max="21" width="4.5" hidden="0" customWidth="1"/>
    <x:col min="22" max="22" width="4.5" hidden="0" customWidth="1"/>
    <x:col min="23" max="23" width="4.5" hidden="0" customWidth="1"/>
    <x:col min="24" max="24" width="4.5" hidden="0" customWidth="1"/>
    <x:col min="25" max="25" width="4.5" hidden="0" customWidth="1"/>
    <x:col min="26" max="26" width="4.5" hidden="0" customWidth="1"/>
    <x:col min="27" max="27" width="4.5" hidden="0" customWidth="1"/>
    <x:col min="28" max="28" width="4.5" hidden="0" customWidth="1"/>
    <x:col min="29" max="29" width="4.5" hidden="0" customWidth="1"/>
    <x:col min="30" max="30" width="4.5" hidden="0" customWidth="1"/>
    <x:col min="31" max="31" width="4.5" hidden="0" customWidth="1"/>
    <x:col min="32" max="32" width="4.5" hidden="0" customWidth="1"/>
    <x:col min="33" max="33" width="4.5" hidden="0" customWidth="1"/>
    <x:col min="34" max="34" width="4.5" hidden="0" customWidth="1"/>
    <x:col min="35" max="35" width="4.5" hidden="0" customWidth="1"/>
    <x:col min="36" max="36" width="4.5" hidden="0" customWidth="1"/>
    <x:col min="37" max="37" width="4.5" hidden="0" customWidth="1"/>
    <x:col min="38" max="38" width="4.5" hidden="0" customWidth="1"/>
    <x:col min="39" max="39" width="4.5" hidden="0" customWidth="1"/>
    <x:col min="40" max="40" width="4.5" hidden="0" customWidth="1"/>
    <x:col min="41" max="41" width="4.5" hidden="0" customWidth="1"/>
    <x:col min="42" max="42" width="4.5" hidden="0" customWidth="1"/>
    <x:col min="43" max="43" width="4.5" hidden="0" customWidth="1"/>
    <x:col min="44" max="44" width="4.5" hidden="0" customWidth="1"/>
    <x:col min="45" max="45" width="4.5" hidden="0" customWidth="1"/>
    <x:col min="1" max="1" width="11" hidden="0" customWidth="1"/>
    <x:col min="2" max="2" width="9" hidden="0" customWidth="1"/>
    <x:col min="3" max="3" width="34" hidden="0" customWidth="1"/>
    <x:col min="4" max="4" width="24" hidden="0" customWidth="1"/>
    <x:col min="5" max="5" width="12" hidden="0" customWidth="1"/>
    <x:col min="6" max="6" width="12" hidden="0" customWidth="1"/>
  </x:cols>
  <x:sheetData>
    <x:row r="1">
      <x:c r="A1" s="14" t="str">
        <x:v>Project Atlas — Baseline Gantt (Weekly View)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3">
      <x:c r="A3" s="23" t="str">
        <x:v>Activity ID</x:v>
      </x:c>
      <x:c r="B3" s="23" t="str">
        <x:v>WBS ID</x:v>
      </x:c>
      <x:c r="C3" s="23" t="str">
        <x:v>Activity / Milestone</x:v>
      </x:c>
      <x:c r="D3" s="23" t="str">
        <x:v>Owner</x:v>
      </x:c>
      <x:c r="E3" s="23" t="str">
        <x:v>Start</x:v>
      </x:c>
      <x:c r="F3" s="23" t="str">
        <x:v>Finish</x:v>
      </x:c>
      <x:c r="G3" s="34" t="n">
        <x:v>46027</x:v>
      </x:c>
      <x:c r="H3" s="34" t="n">
        <x:v>46034</x:v>
      </x:c>
      <x:c r="I3" s="34" t="n">
        <x:v>46041</x:v>
      </x:c>
      <x:c r="J3" s="34" t="n">
        <x:v>46048</x:v>
      </x:c>
      <x:c r="K3" s="34" t="n">
        <x:v>46055</x:v>
      </x:c>
      <x:c r="L3" s="34" t="n">
        <x:v>46062</x:v>
      </x:c>
      <x:c r="M3" s="34" t="n">
        <x:v>46069</x:v>
      </x:c>
      <x:c r="N3" s="34" t="n">
        <x:v>46076</x:v>
      </x:c>
      <x:c r="O3" s="34" t="n">
        <x:v>46083</x:v>
      </x:c>
      <x:c r="P3" s="34" t="n">
        <x:v>46090</x:v>
      </x:c>
      <x:c r="Q3" s="34" t="n">
        <x:v>46097</x:v>
      </x:c>
      <x:c r="R3" s="34" t="n">
        <x:v>46104</x:v>
      </x:c>
      <x:c r="S3" s="34" t="n">
        <x:v>46111</x:v>
      </x:c>
      <x:c r="T3" s="34" t="n">
        <x:v>46118</x:v>
      </x:c>
      <x:c r="U3" s="34" t="n">
        <x:v>46125</x:v>
      </x:c>
      <x:c r="V3" s="34" t="n">
        <x:v>46132</x:v>
      </x:c>
      <x:c r="W3" s="34" t="n">
        <x:v>46139</x:v>
      </x:c>
      <x:c r="X3" s="34" t="n">
        <x:v>46146</x:v>
      </x:c>
      <x:c r="Y3" s="34" t="n">
        <x:v>46153</x:v>
      </x:c>
      <x:c r="Z3" s="34" t="n">
        <x:v>46160</x:v>
      </x:c>
      <x:c r="AA3" s="34" t="n">
        <x:v>46167</x:v>
      </x:c>
      <x:c r="AB3" s="34" t="n">
        <x:v>46174</x:v>
      </x:c>
      <x:c r="AC3" s="34" t="n">
        <x:v>46181</x:v>
      </x:c>
      <x:c r="AD3" s="34" t="n">
        <x:v>46188</x:v>
      </x:c>
      <x:c r="AE3" s="34" t="n">
        <x:v>46195</x:v>
      </x:c>
      <x:c r="AF3" s="34" t="n">
        <x:v>46202</x:v>
      </x:c>
      <x:c r="AG3" s="34" t="n">
        <x:v>46209</x:v>
      </x:c>
      <x:c r="AH3" s="34" t="n">
        <x:v>46216</x:v>
      </x:c>
      <x:c r="AI3" s="34" t="n">
        <x:v>46223</x:v>
      </x:c>
      <x:c r="AJ3" s="34" t="n">
        <x:v>46230</x:v>
      </x:c>
      <x:c r="AK3" s="34" t="n">
        <x:v>46237</x:v>
      </x:c>
      <x:c r="AL3" s="34" t="n">
        <x:v>46244</x:v>
      </x:c>
      <x:c r="AM3" s="34" t="n">
        <x:v>46251</x:v>
      </x:c>
      <x:c r="AN3" s="34" t="n">
        <x:v>46258</x:v>
      </x:c>
      <x:c r="AO3" s="34" t="n">
        <x:v>46265</x:v>
      </x:c>
      <x:c r="AP3" s="34" t="n">
        <x:v>46272</x:v>
      </x:c>
      <x:c r="AQ3" s="34" t="n">
        <x:v>46279</x:v>
      </x:c>
      <x:c r="AR3" s="34" t="n">
        <x:v>46286</x:v>
      </x:c>
      <x:c r="AS3" s="34" t="n">
        <x:v>46293</x:v>
      </x:c>
    </x:row>
    <x:row r="4">
      <x:c r="A4" s="27" t="str">
        <x:v>AT-001</x:v>
      </x:c>
      <x:c r="B4" s="27" t="str">
        <x:v>1.1.1</x:v>
      </x:c>
      <x:c r="C4" s="27" t="str">
        <x:v>Finalize integrated project management approach</x:v>
      </x:c>
      <x:c r="D4" s="27" t="str">
        <x:v>Project Manager</x:v>
      </x:c>
      <x:c r="E4" s="35" t="n">
        <x:v>46027</x:v>
      </x:c>
      <x:c r="F4" s="35" t="n">
        <x:v>46031</x:v>
      </x:c>
      <x:c r="G4" s="36" t="str">
        <x:f>IF(AND(G$3&lt;=$F4,G$3+6&gt;=$E4),"■","")</x:f>
        <x:v>■</x:v>
      </x:c>
      <x:c r="H4" s="36" t="str">
        <x:f>IF(AND(H$3&lt;=$F4,H$3+6&gt;=$E4),"■","")</x:f>
      </x:c>
      <x:c r="I4" s="36" t="str">
        <x:f>IF(AND(I$3&lt;=$F4,I$3+6&gt;=$E4),"■","")</x:f>
      </x:c>
      <x:c r="J4" s="36" t="str">
        <x:f>IF(AND(J$3&lt;=$F4,J$3+6&gt;=$E4),"■","")</x:f>
      </x:c>
      <x:c r="K4" s="36" t="str">
        <x:f>IF(AND(K$3&lt;=$F4,K$3+6&gt;=$E4),"■","")</x:f>
      </x:c>
      <x:c r="L4" s="36" t="str">
        <x:f>IF(AND(L$3&lt;=$F4,L$3+6&gt;=$E4),"■","")</x:f>
      </x:c>
      <x:c r="M4" s="36" t="str">
        <x:f>IF(AND(M$3&lt;=$F4,M$3+6&gt;=$E4),"■","")</x:f>
      </x:c>
      <x:c r="N4" s="36" t="str">
        <x:f>IF(AND(N$3&lt;=$F4,N$3+6&gt;=$E4),"■","")</x:f>
      </x:c>
      <x:c r="O4" s="36" t="str">
        <x:f>IF(AND(O$3&lt;=$F4,O$3+6&gt;=$E4),"■","")</x:f>
      </x:c>
      <x:c r="P4" s="36" t="str">
        <x:f>IF(AND(P$3&lt;=$F4,P$3+6&gt;=$E4),"■","")</x:f>
      </x:c>
      <x:c r="Q4" s="36" t="str">
        <x:f>IF(AND(Q$3&lt;=$F4,Q$3+6&gt;=$E4),"■","")</x:f>
      </x:c>
      <x:c r="R4" s="36" t="str">
        <x:f>IF(AND(R$3&lt;=$F4,R$3+6&gt;=$E4),"■","")</x:f>
      </x:c>
      <x:c r="S4" s="36" t="str">
        <x:f>IF(AND(S$3&lt;=$F4,S$3+6&gt;=$E4),"■","")</x:f>
      </x:c>
      <x:c r="T4" s="36" t="str">
        <x:f>IF(AND(T$3&lt;=$F4,T$3+6&gt;=$E4),"■","")</x:f>
      </x:c>
      <x:c r="U4" s="36" t="str">
        <x:f>IF(AND(U$3&lt;=$F4,U$3+6&gt;=$E4),"■","")</x:f>
      </x:c>
      <x:c r="V4" s="36" t="str">
        <x:f>IF(AND(V$3&lt;=$F4,V$3+6&gt;=$E4),"■","")</x:f>
      </x:c>
      <x:c r="W4" s="36" t="str">
        <x:f>IF(AND(W$3&lt;=$F4,W$3+6&gt;=$E4),"■","")</x:f>
      </x:c>
      <x:c r="X4" s="36" t="str">
        <x:f>IF(AND(X$3&lt;=$F4,X$3+6&gt;=$E4),"■","")</x:f>
      </x:c>
      <x:c r="Y4" s="36" t="str">
        <x:f>IF(AND(Y$3&lt;=$F4,Y$3+6&gt;=$E4),"■","")</x:f>
      </x:c>
      <x:c r="Z4" s="36" t="str">
        <x:f>IF(AND(Z$3&lt;=$F4,Z$3+6&gt;=$E4),"■","")</x:f>
      </x:c>
      <x:c r="AA4" s="36" t="str">
        <x:f>IF(AND(AA$3&lt;=$F4,AA$3+6&gt;=$E4),"■","")</x:f>
      </x:c>
      <x:c r="AB4" s="36" t="str">
        <x:f>IF(AND(AB$3&lt;=$F4,AB$3+6&gt;=$E4),"■","")</x:f>
      </x:c>
      <x:c r="AC4" s="36" t="str">
        <x:f>IF(AND(AC$3&lt;=$F4,AC$3+6&gt;=$E4),"■","")</x:f>
      </x:c>
      <x:c r="AD4" s="36" t="str">
        <x:f>IF(AND(AD$3&lt;=$F4,AD$3+6&gt;=$E4),"■","")</x:f>
      </x:c>
      <x:c r="AE4" s="36" t="str">
        <x:f>IF(AND(AE$3&lt;=$F4,AE$3+6&gt;=$E4),"■","")</x:f>
      </x:c>
      <x:c r="AF4" s="36" t="str">
        <x:f>IF(AND(AF$3&lt;=$F4,AF$3+6&gt;=$E4),"■","")</x:f>
      </x:c>
      <x:c r="AG4" s="36" t="str">
        <x:f>IF(AND(AG$3&lt;=$F4,AG$3+6&gt;=$E4),"■","")</x:f>
      </x:c>
      <x:c r="AH4" s="36" t="str">
        <x:f>IF(AND(AH$3&lt;=$F4,AH$3+6&gt;=$E4),"■","")</x:f>
      </x:c>
      <x:c r="AI4" s="36" t="str">
        <x:f>IF(AND(AI$3&lt;=$F4,AI$3+6&gt;=$E4),"■","")</x:f>
      </x:c>
      <x:c r="AJ4" s="36" t="str">
        <x:f>IF(AND(AJ$3&lt;=$F4,AJ$3+6&gt;=$E4),"■","")</x:f>
      </x:c>
      <x:c r="AK4" s="36" t="str">
        <x:f>IF(AND(AK$3&lt;=$F4,AK$3+6&gt;=$E4),"■","")</x:f>
      </x:c>
      <x:c r="AL4" s="36" t="str">
        <x:f>IF(AND(AL$3&lt;=$F4,AL$3+6&gt;=$E4),"■","")</x:f>
      </x:c>
      <x:c r="AM4" s="36" t="str">
        <x:f>IF(AND(AM$3&lt;=$F4,AM$3+6&gt;=$E4),"■","")</x:f>
      </x:c>
      <x:c r="AN4" s="36" t="str">
        <x:f>IF(AND(AN$3&lt;=$F4,AN$3+6&gt;=$E4),"■","")</x:f>
      </x:c>
      <x:c r="AO4" s="36" t="str">
        <x:f>IF(AND(AO$3&lt;=$F4,AO$3+6&gt;=$E4),"■","")</x:f>
      </x:c>
      <x:c r="AP4" s="36" t="str">
        <x:f>IF(AND(AP$3&lt;=$F4,AP$3+6&gt;=$E4),"■","")</x:f>
      </x:c>
      <x:c r="AQ4" s="36" t="str">
        <x:f>IF(AND(AQ$3&lt;=$F4,AQ$3+6&gt;=$E4),"■","")</x:f>
      </x:c>
      <x:c r="AR4" s="36" t="str">
        <x:f>IF(AND(AR$3&lt;=$F4,AR$3+6&gt;=$E4),"■","")</x:f>
      </x:c>
      <x:c r="AS4" s="36" t="str">
        <x:f>IF(AND(AS$3&lt;=$F4,AS$3+6&gt;=$E4),"■","")</x:f>
      </x:c>
    </x:row>
    <x:row r="5">
      <x:c r="A5" s="27" t="str">
        <x:v>AT-002</x:v>
      </x:c>
      <x:c r="B5" s="27" t="str">
        <x:v>1.2.3</x:v>
      </x:c>
      <x:c r="C5" s="27" t="str">
        <x:v>Project Charter approval milestone</x:v>
      </x:c>
      <x:c r="D5" s="27" t="str">
        <x:v>Executive Sponsor</x:v>
      </x:c>
      <x:c r="E5" s="35" t="n">
        <x:v>46031</x:v>
      </x:c>
      <x:c r="F5" s="35" t="n">
        <x:v>46031</x:v>
      </x:c>
      <x:c r="G5" s="36" t="str">
        <x:f>IF(AND(G$3&lt;=$F5,G$3+6&gt;=$E5),"■","")</x:f>
        <x:v>■</x:v>
      </x:c>
      <x:c r="H5" s="36" t="str">
        <x:f>IF(AND(H$3&lt;=$F5,H$3+6&gt;=$E5),"■","")</x:f>
      </x:c>
      <x:c r="I5" s="36" t="str">
        <x:f>IF(AND(I$3&lt;=$F5,I$3+6&gt;=$E5),"■","")</x:f>
      </x:c>
      <x:c r="J5" s="36" t="str">
        <x:f>IF(AND(J$3&lt;=$F5,J$3+6&gt;=$E5),"■","")</x:f>
      </x:c>
      <x:c r="K5" s="36" t="str">
        <x:f>IF(AND(K$3&lt;=$F5,K$3+6&gt;=$E5),"■","")</x:f>
      </x:c>
      <x:c r="L5" s="36" t="str">
        <x:f>IF(AND(L$3&lt;=$F5,L$3+6&gt;=$E5),"■","")</x:f>
      </x:c>
      <x:c r="M5" s="36" t="str">
        <x:f>IF(AND(M$3&lt;=$F5,M$3+6&gt;=$E5),"■","")</x:f>
      </x:c>
      <x:c r="N5" s="36" t="str">
        <x:f>IF(AND(N$3&lt;=$F5,N$3+6&gt;=$E5),"■","")</x:f>
      </x:c>
      <x:c r="O5" s="36" t="str">
        <x:f>IF(AND(O$3&lt;=$F5,O$3+6&gt;=$E5),"■","")</x:f>
      </x:c>
      <x:c r="P5" s="36" t="str">
        <x:f>IF(AND(P$3&lt;=$F5,P$3+6&gt;=$E5),"■","")</x:f>
      </x:c>
      <x:c r="Q5" s="36" t="str">
        <x:f>IF(AND(Q$3&lt;=$F5,Q$3+6&gt;=$E5),"■","")</x:f>
      </x:c>
      <x:c r="R5" s="36" t="str">
        <x:f>IF(AND(R$3&lt;=$F5,R$3+6&gt;=$E5),"■","")</x:f>
      </x:c>
      <x:c r="S5" s="36" t="str">
        <x:f>IF(AND(S$3&lt;=$F5,S$3+6&gt;=$E5),"■","")</x:f>
      </x:c>
      <x:c r="T5" s="36" t="str">
        <x:f>IF(AND(T$3&lt;=$F5,T$3+6&gt;=$E5),"■","")</x:f>
      </x:c>
      <x:c r="U5" s="36" t="str">
        <x:f>IF(AND(U$3&lt;=$F5,U$3+6&gt;=$E5),"■","")</x:f>
      </x:c>
      <x:c r="V5" s="36" t="str">
        <x:f>IF(AND(V$3&lt;=$F5,V$3+6&gt;=$E5),"■","")</x:f>
      </x:c>
      <x:c r="W5" s="36" t="str">
        <x:f>IF(AND(W$3&lt;=$F5,W$3+6&gt;=$E5),"■","")</x:f>
      </x:c>
      <x:c r="X5" s="36" t="str">
        <x:f>IF(AND(X$3&lt;=$F5,X$3+6&gt;=$E5),"■","")</x:f>
      </x:c>
      <x:c r="Y5" s="36" t="str">
        <x:f>IF(AND(Y$3&lt;=$F5,Y$3+6&gt;=$E5),"■","")</x:f>
      </x:c>
      <x:c r="Z5" s="36" t="str">
        <x:f>IF(AND(Z$3&lt;=$F5,Z$3+6&gt;=$E5),"■","")</x:f>
      </x:c>
      <x:c r="AA5" s="36" t="str">
        <x:f>IF(AND(AA$3&lt;=$F5,AA$3+6&gt;=$E5),"■","")</x:f>
      </x:c>
      <x:c r="AB5" s="36" t="str">
        <x:f>IF(AND(AB$3&lt;=$F5,AB$3+6&gt;=$E5),"■","")</x:f>
      </x:c>
      <x:c r="AC5" s="36" t="str">
        <x:f>IF(AND(AC$3&lt;=$F5,AC$3+6&gt;=$E5),"■","")</x:f>
      </x:c>
      <x:c r="AD5" s="36" t="str">
        <x:f>IF(AND(AD$3&lt;=$F5,AD$3+6&gt;=$E5),"■","")</x:f>
      </x:c>
      <x:c r="AE5" s="36" t="str">
        <x:f>IF(AND(AE$3&lt;=$F5,AE$3+6&gt;=$E5),"■","")</x:f>
      </x:c>
      <x:c r="AF5" s="36" t="str">
        <x:f>IF(AND(AF$3&lt;=$F5,AF$3+6&gt;=$E5),"■","")</x:f>
      </x:c>
      <x:c r="AG5" s="36" t="str">
        <x:f>IF(AND(AG$3&lt;=$F5,AG$3+6&gt;=$E5),"■","")</x:f>
      </x:c>
      <x:c r="AH5" s="36" t="str">
        <x:f>IF(AND(AH$3&lt;=$F5,AH$3+6&gt;=$E5),"■","")</x:f>
      </x:c>
      <x:c r="AI5" s="36" t="str">
        <x:f>IF(AND(AI$3&lt;=$F5,AI$3+6&gt;=$E5),"■","")</x:f>
      </x:c>
      <x:c r="AJ5" s="36" t="str">
        <x:f>IF(AND(AJ$3&lt;=$F5,AJ$3+6&gt;=$E5),"■","")</x:f>
      </x:c>
      <x:c r="AK5" s="36" t="str">
        <x:f>IF(AND(AK$3&lt;=$F5,AK$3+6&gt;=$E5),"■","")</x:f>
      </x:c>
      <x:c r="AL5" s="36" t="str">
        <x:f>IF(AND(AL$3&lt;=$F5,AL$3+6&gt;=$E5),"■","")</x:f>
      </x:c>
      <x:c r="AM5" s="36" t="str">
        <x:f>IF(AND(AM$3&lt;=$F5,AM$3+6&gt;=$E5),"■","")</x:f>
      </x:c>
      <x:c r="AN5" s="36" t="str">
        <x:f>IF(AND(AN$3&lt;=$F5,AN$3+6&gt;=$E5),"■","")</x:f>
      </x:c>
      <x:c r="AO5" s="36" t="str">
        <x:f>IF(AND(AO$3&lt;=$F5,AO$3+6&gt;=$E5),"■","")</x:f>
      </x:c>
      <x:c r="AP5" s="36" t="str">
        <x:f>IF(AND(AP$3&lt;=$F5,AP$3+6&gt;=$E5),"■","")</x:f>
      </x:c>
      <x:c r="AQ5" s="36" t="str">
        <x:f>IF(AND(AQ$3&lt;=$F5,AQ$3+6&gt;=$E5),"■","")</x:f>
      </x:c>
      <x:c r="AR5" s="36" t="str">
        <x:f>IF(AND(AR$3&lt;=$F5,AR$3+6&gt;=$E5),"■","")</x:f>
      </x:c>
      <x:c r="AS5" s="36" t="str">
        <x:f>IF(AND(AS$3&lt;=$F5,AS$3+6&gt;=$E5),"■","")</x:f>
      </x:c>
    </x:row>
    <x:row r="6">
      <x:c r="A6" s="27" t="str">
        <x:v>AT-010</x:v>
      </x:c>
      <x:c r="B6" s="27" t="str">
        <x:v>2.1.1</x:v>
      </x:c>
      <x:c r="C6" s="27" t="str">
        <x:v>Business and functional requirements workshops</x:v>
      </x:c>
      <x:c r="D6" s="27" t="str">
        <x:v>Business Analysis Lead</x:v>
      </x:c>
      <x:c r="E6" s="35" t="n">
        <x:v>46034</x:v>
      </x:c>
      <x:c r="F6" s="35" t="n">
        <x:v>46052</x:v>
      </x:c>
      <x:c r="G6" s="36" t="str">
        <x:f>IF(AND(G$3&lt;=$F6,G$3+6&gt;=$E6),"■","")</x:f>
      </x:c>
      <x:c r="H6" s="36" t="str">
        <x:f>IF(AND(H$3&lt;=$F6,H$3+6&gt;=$E6),"■","")</x:f>
        <x:v>■</x:v>
      </x:c>
      <x:c r="I6" s="36" t="str">
        <x:f>IF(AND(I$3&lt;=$F6,I$3+6&gt;=$E6),"■","")</x:f>
        <x:v>■</x:v>
      </x:c>
      <x:c r="J6" s="36" t="str">
        <x:f>IF(AND(J$3&lt;=$F6,J$3+6&gt;=$E6),"■","")</x:f>
        <x:v>■</x:v>
      </x:c>
      <x:c r="K6" s="36" t="str">
        <x:f>IF(AND(K$3&lt;=$F6,K$3+6&gt;=$E6),"■","")</x:f>
      </x:c>
      <x:c r="L6" s="36" t="str">
        <x:f>IF(AND(L$3&lt;=$F6,L$3+6&gt;=$E6),"■","")</x:f>
      </x:c>
      <x:c r="M6" s="36" t="str">
        <x:f>IF(AND(M$3&lt;=$F6,M$3+6&gt;=$E6),"■","")</x:f>
      </x:c>
      <x:c r="N6" s="36" t="str">
        <x:f>IF(AND(N$3&lt;=$F6,N$3+6&gt;=$E6),"■","")</x:f>
      </x:c>
      <x:c r="O6" s="36" t="str">
        <x:f>IF(AND(O$3&lt;=$F6,O$3+6&gt;=$E6),"■","")</x:f>
      </x:c>
      <x:c r="P6" s="36" t="str">
        <x:f>IF(AND(P$3&lt;=$F6,P$3+6&gt;=$E6),"■","")</x:f>
      </x:c>
      <x:c r="Q6" s="36" t="str">
        <x:f>IF(AND(Q$3&lt;=$F6,Q$3+6&gt;=$E6),"■","")</x:f>
      </x:c>
      <x:c r="R6" s="36" t="str">
        <x:f>IF(AND(R$3&lt;=$F6,R$3+6&gt;=$E6),"■","")</x:f>
      </x:c>
      <x:c r="S6" s="36" t="str">
        <x:f>IF(AND(S$3&lt;=$F6,S$3+6&gt;=$E6),"■","")</x:f>
      </x:c>
      <x:c r="T6" s="36" t="str">
        <x:f>IF(AND(T$3&lt;=$F6,T$3+6&gt;=$E6),"■","")</x:f>
      </x:c>
      <x:c r="U6" s="36" t="str">
        <x:f>IF(AND(U$3&lt;=$F6,U$3+6&gt;=$E6),"■","")</x:f>
      </x:c>
      <x:c r="V6" s="36" t="str">
        <x:f>IF(AND(V$3&lt;=$F6,V$3+6&gt;=$E6),"■","")</x:f>
      </x:c>
      <x:c r="W6" s="36" t="str">
        <x:f>IF(AND(W$3&lt;=$F6,W$3+6&gt;=$E6),"■","")</x:f>
      </x:c>
      <x:c r="X6" s="36" t="str">
        <x:f>IF(AND(X$3&lt;=$F6,X$3+6&gt;=$E6),"■","")</x:f>
      </x:c>
      <x:c r="Y6" s="36" t="str">
        <x:f>IF(AND(Y$3&lt;=$F6,Y$3+6&gt;=$E6),"■","")</x:f>
      </x:c>
      <x:c r="Z6" s="36" t="str">
        <x:f>IF(AND(Z$3&lt;=$F6,Z$3+6&gt;=$E6),"■","")</x:f>
      </x:c>
      <x:c r="AA6" s="36" t="str">
        <x:f>IF(AND(AA$3&lt;=$F6,AA$3+6&gt;=$E6),"■","")</x:f>
      </x:c>
      <x:c r="AB6" s="36" t="str">
        <x:f>IF(AND(AB$3&lt;=$F6,AB$3+6&gt;=$E6),"■","")</x:f>
      </x:c>
      <x:c r="AC6" s="36" t="str">
        <x:f>IF(AND(AC$3&lt;=$F6,AC$3+6&gt;=$E6),"■","")</x:f>
      </x:c>
      <x:c r="AD6" s="36" t="str">
        <x:f>IF(AND(AD$3&lt;=$F6,AD$3+6&gt;=$E6),"■","")</x:f>
      </x:c>
      <x:c r="AE6" s="36" t="str">
        <x:f>IF(AND(AE$3&lt;=$F6,AE$3+6&gt;=$E6),"■","")</x:f>
      </x:c>
      <x:c r="AF6" s="36" t="str">
        <x:f>IF(AND(AF$3&lt;=$F6,AF$3+6&gt;=$E6),"■","")</x:f>
      </x:c>
      <x:c r="AG6" s="36" t="str">
        <x:f>IF(AND(AG$3&lt;=$F6,AG$3+6&gt;=$E6),"■","")</x:f>
      </x:c>
      <x:c r="AH6" s="36" t="str">
        <x:f>IF(AND(AH$3&lt;=$F6,AH$3+6&gt;=$E6),"■","")</x:f>
      </x:c>
      <x:c r="AI6" s="36" t="str">
        <x:f>IF(AND(AI$3&lt;=$F6,AI$3+6&gt;=$E6),"■","")</x:f>
      </x:c>
      <x:c r="AJ6" s="36" t="str">
        <x:f>IF(AND(AJ$3&lt;=$F6,AJ$3+6&gt;=$E6),"■","")</x:f>
      </x:c>
      <x:c r="AK6" s="36" t="str">
        <x:f>IF(AND(AK$3&lt;=$F6,AK$3+6&gt;=$E6),"■","")</x:f>
      </x:c>
      <x:c r="AL6" s="36" t="str">
        <x:f>IF(AND(AL$3&lt;=$F6,AL$3+6&gt;=$E6),"■","")</x:f>
      </x:c>
      <x:c r="AM6" s="36" t="str">
        <x:f>IF(AND(AM$3&lt;=$F6,AM$3+6&gt;=$E6),"■","")</x:f>
      </x:c>
      <x:c r="AN6" s="36" t="str">
        <x:f>IF(AND(AN$3&lt;=$F6,AN$3+6&gt;=$E6),"■","")</x:f>
      </x:c>
      <x:c r="AO6" s="36" t="str">
        <x:f>IF(AND(AO$3&lt;=$F6,AO$3+6&gt;=$E6),"■","")</x:f>
      </x:c>
      <x:c r="AP6" s="36" t="str">
        <x:f>IF(AND(AP$3&lt;=$F6,AP$3+6&gt;=$E6),"■","")</x:f>
      </x:c>
      <x:c r="AQ6" s="36" t="str">
        <x:f>IF(AND(AQ$3&lt;=$F6,AQ$3+6&gt;=$E6),"■","")</x:f>
      </x:c>
      <x:c r="AR6" s="36" t="str">
        <x:f>IF(AND(AR$3&lt;=$F6,AR$3+6&gt;=$E6),"■","")</x:f>
      </x:c>
      <x:c r="AS6" s="36" t="str">
        <x:f>IF(AND(AS$3&lt;=$F6,AS$3+6&gt;=$E6),"■","")</x:f>
      </x:c>
    </x:row>
    <x:row r="7">
      <x:c r="A7" s="27" t="str">
        <x:v>AT-011</x:v>
      </x:c>
      <x:c r="B7" s="27" t="str">
        <x:v>2.1.2</x:v>
      </x:c>
      <x:c r="C7" s="27" t="str">
        <x:v>Integration and data requirements definition</x:v>
      </x:c>
      <x:c r="D7" s="27" t="str">
        <x:v>Business Analysis Lead</x:v>
      </x:c>
      <x:c r="E7" s="35" t="n">
        <x:v>46041</x:v>
      </x:c>
      <x:c r="F7" s="35" t="n">
        <x:v>46056</x:v>
      </x:c>
      <x:c r="G7" s="36" t="str">
        <x:f>IF(AND(G$3&lt;=$F7,G$3+6&gt;=$E7),"■","")</x:f>
      </x:c>
      <x:c r="H7" s="36" t="str">
        <x:f>IF(AND(H$3&lt;=$F7,H$3+6&gt;=$E7),"■","")</x:f>
      </x:c>
      <x:c r="I7" s="36" t="str">
        <x:f>IF(AND(I$3&lt;=$F7,I$3+6&gt;=$E7),"■","")</x:f>
        <x:v>■</x:v>
      </x:c>
      <x:c r="J7" s="36" t="str">
        <x:f>IF(AND(J$3&lt;=$F7,J$3+6&gt;=$E7),"■","")</x:f>
        <x:v>■</x:v>
      </x:c>
      <x:c r="K7" s="36" t="str">
        <x:f>IF(AND(K$3&lt;=$F7,K$3+6&gt;=$E7),"■","")</x:f>
        <x:v>■</x:v>
      </x:c>
      <x:c r="L7" s="36" t="str">
        <x:f>IF(AND(L$3&lt;=$F7,L$3+6&gt;=$E7),"■","")</x:f>
      </x:c>
      <x:c r="M7" s="36" t="str">
        <x:f>IF(AND(M$3&lt;=$F7,M$3+6&gt;=$E7),"■","")</x:f>
      </x:c>
      <x:c r="N7" s="36" t="str">
        <x:f>IF(AND(N$3&lt;=$F7,N$3+6&gt;=$E7),"■","")</x:f>
      </x:c>
      <x:c r="O7" s="36" t="str">
        <x:f>IF(AND(O$3&lt;=$F7,O$3+6&gt;=$E7),"■","")</x:f>
      </x:c>
      <x:c r="P7" s="36" t="str">
        <x:f>IF(AND(P$3&lt;=$F7,P$3+6&gt;=$E7),"■","")</x:f>
      </x:c>
      <x:c r="Q7" s="36" t="str">
        <x:f>IF(AND(Q$3&lt;=$F7,Q$3+6&gt;=$E7),"■","")</x:f>
      </x:c>
      <x:c r="R7" s="36" t="str">
        <x:f>IF(AND(R$3&lt;=$F7,R$3+6&gt;=$E7),"■","")</x:f>
      </x:c>
      <x:c r="S7" s="36" t="str">
        <x:f>IF(AND(S$3&lt;=$F7,S$3+6&gt;=$E7),"■","")</x:f>
      </x:c>
      <x:c r="T7" s="36" t="str">
        <x:f>IF(AND(T$3&lt;=$F7,T$3+6&gt;=$E7),"■","")</x:f>
      </x:c>
      <x:c r="U7" s="36" t="str">
        <x:f>IF(AND(U$3&lt;=$F7,U$3+6&gt;=$E7),"■","")</x:f>
      </x:c>
      <x:c r="V7" s="36" t="str">
        <x:f>IF(AND(V$3&lt;=$F7,V$3+6&gt;=$E7),"■","")</x:f>
      </x:c>
      <x:c r="W7" s="36" t="str">
        <x:f>IF(AND(W$3&lt;=$F7,W$3+6&gt;=$E7),"■","")</x:f>
      </x:c>
      <x:c r="X7" s="36" t="str">
        <x:f>IF(AND(X$3&lt;=$F7,X$3+6&gt;=$E7),"■","")</x:f>
      </x:c>
      <x:c r="Y7" s="36" t="str">
        <x:f>IF(AND(Y$3&lt;=$F7,Y$3+6&gt;=$E7),"■","")</x:f>
      </x:c>
      <x:c r="Z7" s="36" t="str">
        <x:f>IF(AND(Z$3&lt;=$F7,Z$3+6&gt;=$E7),"■","")</x:f>
      </x:c>
      <x:c r="AA7" s="36" t="str">
        <x:f>IF(AND(AA$3&lt;=$F7,AA$3+6&gt;=$E7),"■","")</x:f>
      </x:c>
      <x:c r="AB7" s="36" t="str">
        <x:f>IF(AND(AB$3&lt;=$F7,AB$3+6&gt;=$E7),"■","")</x:f>
      </x:c>
      <x:c r="AC7" s="36" t="str">
        <x:f>IF(AND(AC$3&lt;=$F7,AC$3+6&gt;=$E7),"■","")</x:f>
      </x:c>
      <x:c r="AD7" s="36" t="str">
        <x:f>IF(AND(AD$3&lt;=$F7,AD$3+6&gt;=$E7),"■","")</x:f>
      </x:c>
      <x:c r="AE7" s="36" t="str">
        <x:f>IF(AND(AE$3&lt;=$F7,AE$3+6&gt;=$E7),"■","")</x:f>
      </x:c>
      <x:c r="AF7" s="36" t="str">
        <x:f>IF(AND(AF$3&lt;=$F7,AF$3+6&gt;=$E7),"■","")</x:f>
      </x:c>
      <x:c r="AG7" s="36" t="str">
        <x:f>IF(AND(AG$3&lt;=$F7,AG$3+6&gt;=$E7),"■","")</x:f>
      </x:c>
      <x:c r="AH7" s="36" t="str">
        <x:f>IF(AND(AH$3&lt;=$F7,AH$3+6&gt;=$E7),"■","")</x:f>
      </x:c>
      <x:c r="AI7" s="36" t="str">
        <x:f>IF(AND(AI$3&lt;=$F7,AI$3+6&gt;=$E7),"■","")</x:f>
      </x:c>
      <x:c r="AJ7" s="36" t="str">
        <x:f>IF(AND(AJ$3&lt;=$F7,AJ$3+6&gt;=$E7),"■","")</x:f>
      </x:c>
      <x:c r="AK7" s="36" t="str">
        <x:f>IF(AND(AK$3&lt;=$F7,AK$3+6&gt;=$E7),"■","")</x:f>
      </x:c>
      <x:c r="AL7" s="36" t="str">
        <x:f>IF(AND(AL$3&lt;=$F7,AL$3+6&gt;=$E7),"■","")</x:f>
      </x:c>
      <x:c r="AM7" s="36" t="str">
        <x:f>IF(AND(AM$3&lt;=$F7,AM$3+6&gt;=$E7),"■","")</x:f>
      </x:c>
      <x:c r="AN7" s="36" t="str">
        <x:f>IF(AND(AN$3&lt;=$F7,AN$3+6&gt;=$E7),"■","")</x:f>
      </x:c>
      <x:c r="AO7" s="36" t="str">
        <x:f>IF(AND(AO$3&lt;=$F7,AO$3+6&gt;=$E7),"■","")</x:f>
      </x:c>
      <x:c r="AP7" s="36" t="str">
        <x:f>IF(AND(AP$3&lt;=$F7,AP$3+6&gt;=$E7),"■","")</x:f>
      </x:c>
      <x:c r="AQ7" s="36" t="str">
        <x:f>IF(AND(AQ$3&lt;=$F7,AQ$3+6&gt;=$E7),"■","")</x:f>
      </x:c>
      <x:c r="AR7" s="36" t="str">
        <x:f>IF(AND(AR$3&lt;=$F7,AR$3+6&gt;=$E7),"■","")</x:f>
      </x:c>
      <x:c r="AS7" s="36" t="str">
        <x:f>IF(AND(AS$3&lt;=$F7,AS$3+6&gt;=$E7),"■","")</x:f>
      </x:c>
    </x:row>
    <x:row r="8">
      <x:c r="A8" s="27" t="str">
        <x:v>AT-012</x:v>
      </x:c>
      <x:c r="B8" s="27" t="str">
        <x:v>2.1.3</x:v>
      </x:c>
      <x:c r="C8" s="27" t="str">
        <x:v>Regulatory, security and NFR definition</x:v>
      </x:c>
      <x:c r="D8" s="27" t="str">
        <x:v>Business Analysis Lead</x:v>
      </x:c>
      <x:c r="E8" s="35" t="n">
        <x:v>46041</x:v>
      </x:c>
      <x:c r="F8" s="35" t="n">
        <x:v>46056</x:v>
      </x:c>
      <x:c r="G8" s="36" t="str">
        <x:f>IF(AND(G$3&lt;=$F8,G$3+6&gt;=$E8),"■","")</x:f>
      </x:c>
      <x:c r="H8" s="36" t="str">
        <x:f>IF(AND(H$3&lt;=$F8,H$3+6&gt;=$E8),"■","")</x:f>
      </x:c>
      <x:c r="I8" s="36" t="str">
        <x:f>IF(AND(I$3&lt;=$F8,I$3+6&gt;=$E8),"■","")</x:f>
        <x:v>■</x:v>
      </x:c>
      <x:c r="J8" s="36" t="str">
        <x:f>IF(AND(J$3&lt;=$F8,J$3+6&gt;=$E8),"■","")</x:f>
        <x:v>■</x:v>
      </x:c>
      <x:c r="K8" s="36" t="str">
        <x:f>IF(AND(K$3&lt;=$F8,K$3+6&gt;=$E8),"■","")</x:f>
        <x:v>■</x:v>
      </x:c>
      <x:c r="L8" s="36" t="str">
        <x:f>IF(AND(L$3&lt;=$F8,L$3+6&gt;=$E8),"■","")</x:f>
      </x:c>
      <x:c r="M8" s="36" t="str">
        <x:f>IF(AND(M$3&lt;=$F8,M$3+6&gt;=$E8),"■","")</x:f>
      </x:c>
      <x:c r="N8" s="36" t="str">
        <x:f>IF(AND(N$3&lt;=$F8,N$3+6&gt;=$E8),"■","")</x:f>
      </x:c>
      <x:c r="O8" s="36" t="str">
        <x:f>IF(AND(O$3&lt;=$F8,O$3+6&gt;=$E8),"■","")</x:f>
      </x:c>
      <x:c r="P8" s="36" t="str">
        <x:f>IF(AND(P$3&lt;=$F8,P$3+6&gt;=$E8),"■","")</x:f>
      </x:c>
      <x:c r="Q8" s="36" t="str">
        <x:f>IF(AND(Q$3&lt;=$F8,Q$3+6&gt;=$E8),"■","")</x:f>
      </x:c>
      <x:c r="R8" s="36" t="str">
        <x:f>IF(AND(R$3&lt;=$F8,R$3+6&gt;=$E8),"■","")</x:f>
      </x:c>
      <x:c r="S8" s="36" t="str">
        <x:f>IF(AND(S$3&lt;=$F8,S$3+6&gt;=$E8),"■","")</x:f>
      </x:c>
      <x:c r="T8" s="36" t="str">
        <x:f>IF(AND(T$3&lt;=$F8,T$3+6&gt;=$E8),"■","")</x:f>
      </x:c>
      <x:c r="U8" s="36" t="str">
        <x:f>IF(AND(U$3&lt;=$F8,U$3+6&gt;=$E8),"■","")</x:f>
      </x:c>
      <x:c r="V8" s="36" t="str">
        <x:f>IF(AND(V$3&lt;=$F8,V$3+6&gt;=$E8),"■","")</x:f>
      </x:c>
      <x:c r="W8" s="36" t="str">
        <x:f>IF(AND(W$3&lt;=$F8,W$3+6&gt;=$E8),"■","")</x:f>
      </x:c>
      <x:c r="X8" s="36" t="str">
        <x:f>IF(AND(X$3&lt;=$F8,X$3+6&gt;=$E8),"■","")</x:f>
      </x:c>
      <x:c r="Y8" s="36" t="str">
        <x:f>IF(AND(Y$3&lt;=$F8,Y$3+6&gt;=$E8),"■","")</x:f>
      </x:c>
      <x:c r="Z8" s="36" t="str">
        <x:f>IF(AND(Z$3&lt;=$F8,Z$3+6&gt;=$E8),"■","")</x:f>
      </x:c>
      <x:c r="AA8" s="36" t="str">
        <x:f>IF(AND(AA$3&lt;=$F8,AA$3+6&gt;=$E8),"■","")</x:f>
      </x:c>
      <x:c r="AB8" s="36" t="str">
        <x:f>IF(AND(AB$3&lt;=$F8,AB$3+6&gt;=$E8),"■","")</x:f>
      </x:c>
      <x:c r="AC8" s="36" t="str">
        <x:f>IF(AND(AC$3&lt;=$F8,AC$3+6&gt;=$E8),"■","")</x:f>
      </x:c>
      <x:c r="AD8" s="36" t="str">
        <x:f>IF(AND(AD$3&lt;=$F8,AD$3+6&gt;=$E8),"■","")</x:f>
      </x:c>
      <x:c r="AE8" s="36" t="str">
        <x:f>IF(AND(AE$3&lt;=$F8,AE$3+6&gt;=$E8),"■","")</x:f>
      </x:c>
      <x:c r="AF8" s="36" t="str">
        <x:f>IF(AND(AF$3&lt;=$F8,AF$3+6&gt;=$E8),"■","")</x:f>
      </x:c>
      <x:c r="AG8" s="36" t="str">
        <x:f>IF(AND(AG$3&lt;=$F8,AG$3+6&gt;=$E8),"■","")</x:f>
      </x:c>
      <x:c r="AH8" s="36" t="str">
        <x:f>IF(AND(AH$3&lt;=$F8,AH$3+6&gt;=$E8),"■","")</x:f>
      </x:c>
      <x:c r="AI8" s="36" t="str">
        <x:f>IF(AND(AI$3&lt;=$F8,AI$3+6&gt;=$E8),"■","")</x:f>
      </x:c>
      <x:c r="AJ8" s="36" t="str">
        <x:f>IF(AND(AJ$3&lt;=$F8,AJ$3+6&gt;=$E8),"■","")</x:f>
      </x:c>
      <x:c r="AK8" s="36" t="str">
        <x:f>IF(AND(AK$3&lt;=$F8,AK$3+6&gt;=$E8),"■","")</x:f>
      </x:c>
      <x:c r="AL8" s="36" t="str">
        <x:f>IF(AND(AL$3&lt;=$F8,AL$3+6&gt;=$E8),"■","")</x:f>
      </x:c>
      <x:c r="AM8" s="36" t="str">
        <x:f>IF(AND(AM$3&lt;=$F8,AM$3+6&gt;=$E8),"■","")</x:f>
      </x:c>
      <x:c r="AN8" s="36" t="str">
        <x:f>IF(AND(AN$3&lt;=$F8,AN$3+6&gt;=$E8),"■","")</x:f>
      </x:c>
      <x:c r="AO8" s="36" t="str">
        <x:f>IF(AND(AO$3&lt;=$F8,AO$3+6&gt;=$E8),"■","")</x:f>
      </x:c>
      <x:c r="AP8" s="36" t="str">
        <x:f>IF(AND(AP$3&lt;=$F8,AP$3+6&gt;=$E8),"■","")</x:f>
      </x:c>
      <x:c r="AQ8" s="36" t="str">
        <x:f>IF(AND(AQ$3&lt;=$F8,AQ$3+6&gt;=$E8),"■","")</x:f>
      </x:c>
      <x:c r="AR8" s="36" t="str">
        <x:f>IF(AND(AR$3&lt;=$F8,AR$3+6&gt;=$E8),"■","")</x:f>
      </x:c>
      <x:c r="AS8" s="36" t="str">
        <x:f>IF(AND(AS$3&lt;=$F8,AS$3+6&gt;=$E8),"■","")</x:f>
      </x:c>
    </x:row>
    <x:row r="9">
      <x:c r="A9" s="27" t="str">
        <x:v>AT-013</x:v>
      </x:c>
      <x:c r="B9" s="27" t="str">
        <x:v>2.1.4</x:v>
      </x:c>
      <x:c r="C9" s="27" t="str">
        <x:v>Requirements traceability and review</x:v>
      </x:c>
      <x:c r="D9" s="27" t="str">
        <x:v>Business Analysis Lead</x:v>
      </x:c>
      <x:c r="E9" s="35" t="n">
        <x:v>46055</x:v>
      </x:c>
      <x:c r="F9" s="35" t="n">
        <x:v>46059</x:v>
      </x:c>
      <x:c r="G9" s="36" t="str">
        <x:f>IF(AND(G$3&lt;=$F9,G$3+6&gt;=$E9),"■","")</x:f>
      </x:c>
      <x:c r="H9" s="36" t="str">
        <x:f>IF(AND(H$3&lt;=$F9,H$3+6&gt;=$E9),"■","")</x:f>
      </x:c>
      <x:c r="I9" s="36" t="str">
        <x:f>IF(AND(I$3&lt;=$F9,I$3+6&gt;=$E9),"■","")</x:f>
      </x:c>
      <x:c r="J9" s="36" t="str">
        <x:f>IF(AND(J$3&lt;=$F9,J$3+6&gt;=$E9),"■","")</x:f>
      </x:c>
      <x:c r="K9" s="36" t="str">
        <x:f>IF(AND(K$3&lt;=$F9,K$3+6&gt;=$E9),"■","")</x:f>
        <x:v>■</x:v>
      </x:c>
      <x:c r="L9" s="36" t="str">
        <x:f>IF(AND(L$3&lt;=$F9,L$3+6&gt;=$E9),"■","")</x:f>
      </x:c>
      <x:c r="M9" s="36" t="str">
        <x:f>IF(AND(M$3&lt;=$F9,M$3+6&gt;=$E9),"■","")</x:f>
      </x:c>
      <x:c r="N9" s="36" t="str">
        <x:f>IF(AND(N$3&lt;=$F9,N$3+6&gt;=$E9),"■","")</x:f>
      </x:c>
      <x:c r="O9" s="36" t="str">
        <x:f>IF(AND(O$3&lt;=$F9,O$3+6&gt;=$E9),"■","")</x:f>
      </x:c>
      <x:c r="P9" s="36" t="str">
        <x:f>IF(AND(P$3&lt;=$F9,P$3+6&gt;=$E9),"■","")</x:f>
      </x:c>
      <x:c r="Q9" s="36" t="str">
        <x:f>IF(AND(Q$3&lt;=$F9,Q$3+6&gt;=$E9),"■","")</x:f>
      </x:c>
      <x:c r="R9" s="36" t="str">
        <x:f>IF(AND(R$3&lt;=$F9,R$3+6&gt;=$E9),"■","")</x:f>
      </x:c>
      <x:c r="S9" s="36" t="str">
        <x:f>IF(AND(S$3&lt;=$F9,S$3+6&gt;=$E9),"■","")</x:f>
      </x:c>
      <x:c r="T9" s="36" t="str">
        <x:f>IF(AND(T$3&lt;=$F9,T$3+6&gt;=$E9),"■","")</x:f>
      </x:c>
      <x:c r="U9" s="36" t="str">
        <x:f>IF(AND(U$3&lt;=$F9,U$3+6&gt;=$E9),"■","")</x:f>
      </x:c>
      <x:c r="V9" s="36" t="str">
        <x:f>IF(AND(V$3&lt;=$F9,V$3+6&gt;=$E9),"■","")</x:f>
      </x:c>
      <x:c r="W9" s="36" t="str">
        <x:f>IF(AND(W$3&lt;=$F9,W$3+6&gt;=$E9),"■","")</x:f>
      </x:c>
      <x:c r="X9" s="36" t="str">
        <x:f>IF(AND(X$3&lt;=$F9,X$3+6&gt;=$E9),"■","")</x:f>
      </x:c>
      <x:c r="Y9" s="36" t="str">
        <x:f>IF(AND(Y$3&lt;=$F9,Y$3+6&gt;=$E9),"■","")</x:f>
      </x:c>
      <x:c r="Z9" s="36" t="str">
        <x:f>IF(AND(Z$3&lt;=$F9,Z$3+6&gt;=$E9),"■","")</x:f>
      </x:c>
      <x:c r="AA9" s="36" t="str">
        <x:f>IF(AND(AA$3&lt;=$F9,AA$3+6&gt;=$E9),"■","")</x:f>
      </x:c>
      <x:c r="AB9" s="36" t="str">
        <x:f>IF(AND(AB$3&lt;=$F9,AB$3+6&gt;=$E9),"■","")</x:f>
      </x:c>
      <x:c r="AC9" s="36" t="str">
        <x:f>IF(AND(AC$3&lt;=$F9,AC$3+6&gt;=$E9),"■","")</x:f>
      </x:c>
      <x:c r="AD9" s="36" t="str">
        <x:f>IF(AND(AD$3&lt;=$F9,AD$3+6&gt;=$E9),"■","")</x:f>
      </x:c>
      <x:c r="AE9" s="36" t="str">
        <x:f>IF(AND(AE$3&lt;=$F9,AE$3+6&gt;=$E9),"■","")</x:f>
      </x:c>
      <x:c r="AF9" s="36" t="str">
        <x:f>IF(AND(AF$3&lt;=$F9,AF$3+6&gt;=$E9),"■","")</x:f>
      </x:c>
      <x:c r="AG9" s="36" t="str">
        <x:f>IF(AND(AG$3&lt;=$F9,AG$3+6&gt;=$E9),"■","")</x:f>
      </x:c>
      <x:c r="AH9" s="36" t="str">
        <x:f>IF(AND(AH$3&lt;=$F9,AH$3+6&gt;=$E9),"■","")</x:f>
      </x:c>
      <x:c r="AI9" s="36" t="str">
        <x:f>IF(AND(AI$3&lt;=$F9,AI$3+6&gt;=$E9),"■","")</x:f>
      </x:c>
      <x:c r="AJ9" s="36" t="str">
        <x:f>IF(AND(AJ$3&lt;=$F9,AJ$3+6&gt;=$E9),"■","")</x:f>
      </x:c>
      <x:c r="AK9" s="36" t="str">
        <x:f>IF(AND(AK$3&lt;=$F9,AK$3+6&gt;=$E9),"■","")</x:f>
      </x:c>
      <x:c r="AL9" s="36" t="str">
        <x:f>IF(AND(AL$3&lt;=$F9,AL$3+6&gt;=$E9),"■","")</x:f>
      </x:c>
      <x:c r="AM9" s="36" t="str">
        <x:f>IF(AND(AM$3&lt;=$F9,AM$3+6&gt;=$E9),"■","")</x:f>
      </x:c>
      <x:c r="AN9" s="36" t="str">
        <x:f>IF(AND(AN$3&lt;=$F9,AN$3+6&gt;=$E9),"■","")</x:f>
      </x:c>
      <x:c r="AO9" s="36" t="str">
        <x:f>IF(AND(AO$3&lt;=$F9,AO$3+6&gt;=$E9),"■","")</x:f>
      </x:c>
      <x:c r="AP9" s="36" t="str">
        <x:f>IF(AND(AP$3&lt;=$F9,AP$3+6&gt;=$E9),"■","")</x:f>
      </x:c>
      <x:c r="AQ9" s="36" t="str">
        <x:f>IF(AND(AQ$3&lt;=$F9,AQ$3+6&gt;=$E9),"■","")</x:f>
      </x:c>
      <x:c r="AR9" s="36" t="str">
        <x:f>IF(AND(AR$3&lt;=$F9,AR$3+6&gt;=$E9),"■","")</x:f>
      </x:c>
      <x:c r="AS9" s="36" t="str">
        <x:f>IF(AND(AS$3&lt;=$F9,AS$3+6&gt;=$E9),"■","")</x:f>
      </x:c>
    </x:row>
    <x:row r="10">
      <x:c r="A10" s="27" t="str">
        <x:v>AT-014</x:v>
      </x:c>
      <x:c r="B10" s="27" t="str">
        <x:v>2.1.4</x:v>
      </x:c>
      <x:c r="C10" s="27" t="str">
        <x:v>Requirements baseline approved</x:v>
      </x:c>
      <x:c r="D10" s="27" t="str">
        <x:v>Business Owner</x:v>
      </x:c>
      <x:c r="E10" s="35" t="n">
        <x:v>46059</x:v>
      </x:c>
      <x:c r="F10" s="35" t="n">
        <x:v>46059</x:v>
      </x:c>
      <x:c r="G10" s="36" t="str">
        <x:f>IF(AND(G$3&lt;=$F10,G$3+6&gt;=$E10),"■","")</x:f>
      </x:c>
      <x:c r="H10" s="36" t="str">
        <x:f>IF(AND(H$3&lt;=$F10,H$3+6&gt;=$E10),"■","")</x:f>
      </x:c>
      <x:c r="I10" s="36" t="str">
        <x:f>IF(AND(I$3&lt;=$F10,I$3+6&gt;=$E10),"■","")</x:f>
      </x:c>
      <x:c r="J10" s="36" t="str">
        <x:f>IF(AND(J$3&lt;=$F10,J$3+6&gt;=$E10),"■","")</x:f>
      </x:c>
      <x:c r="K10" s="36" t="str">
        <x:f>IF(AND(K$3&lt;=$F10,K$3+6&gt;=$E10),"■","")</x:f>
        <x:v>■</x:v>
      </x:c>
      <x:c r="L10" s="36" t="str">
        <x:f>IF(AND(L$3&lt;=$F10,L$3+6&gt;=$E10),"■","")</x:f>
      </x:c>
      <x:c r="M10" s="36" t="str">
        <x:f>IF(AND(M$3&lt;=$F10,M$3+6&gt;=$E10),"■","")</x:f>
      </x:c>
      <x:c r="N10" s="36" t="str">
        <x:f>IF(AND(N$3&lt;=$F10,N$3+6&gt;=$E10),"■","")</x:f>
      </x:c>
      <x:c r="O10" s="36" t="str">
        <x:f>IF(AND(O$3&lt;=$F10,O$3+6&gt;=$E10),"■","")</x:f>
      </x:c>
      <x:c r="P10" s="36" t="str">
        <x:f>IF(AND(P$3&lt;=$F10,P$3+6&gt;=$E10),"■","")</x:f>
      </x:c>
      <x:c r="Q10" s="36" t="str">
        <x:f>IF(AND(Q$3&lt;=$F10,Q$3+6&gt;=$E10),"■","")</x:f>
      </x:c>
      <x:c r="R10" s="36" t="str">
        <x:f>IF(AND(R$3&lt;=$F10,R$3+6&gt;=$E10),"■","")</x:f>
      </x:c>
      <x:c r="S10" s="36" t="str">
        <x:f>IF(AND(S$3&lt;=$F10,S$3+6&gt;=$E10),"■","")</x:f>
      </x:c>
      <x:c r="T10" s="36" t="str">
        <x:f>IF(AND(T$3&lt;=$F10,T$3+6&gt;=$E10),"■","")</x:f>
      </x:c>
      <x:c r="U10" s="36" t="str">
        <x:f>IF(AND(U$3&lt;=$F10,U$3+6&gt;=$E10),"■","")</x:f>
      </x:c>
      <x:c r="V10" s="36" t="str">
        <x:f>IF(AND(V$3&lt;=$F10,V$3+6&gt;=$E10),"■","")</x:f>
      </x:c>
      <x:c r="W10" s="36" t="str">
        <x:f>IF(AND(W$3&lt;=$F10,W$3+6&gt;=$E10),"■","")</x:f>
      </x:c>
      <x:c r="X10" s="36" t="str">
        <x:f>IF(AND(X$3&lt;=$F10,X$3+6&gt;=$E10),"■","")</x:f>
      </x:c>
      <x:c r="Y10" s="36" t="str">
        <x:f>IF(AND(Y$3&lt;=$F10,Y$3+6&gt;=$E10),"■","")</x:f>
      </x:c>
      <x:c r="Z10" s="36" t="str">
        <x:f>IF(AND(Z$3&lt;=$F10,Z$3+6&gt;=$E10),"■","")</x:f>
      </x:c>
      <x:c r="AA10" s="36" t="str">
        <x:f>IF(AND(AA$3&lt;=$F10,AA$3+6&gt;=$E10),"■","")</x:f>
      </x:c>
      <x:c r="AB10" s="36" t="str">
        <x:f>IF(AND(AB$3&lt;=$F10,AB$3+6&gt;=$E10),"■","")</x:f>
      </x:c>
      <x:c r="AC10" s="36" t="str">
        <x:f>IF(AND(AC$3&lt;=$F10,AC$3+6&gt;=$E10),"■","")</x:f>
      </x:c>
      <x:c r="AD10" s="36" t="str">
        <x:f>IF(AND(AD$3&lt;=$F10,AD$3+6&gt;=$E10),"■","")</x:f>
      </x:c>
      <x:c r="AE10" s="36" t="str">
        <x:f>IF(AND(AE$3&lt;=$F10,AE$3+6&gt;=$E10),"■","")</x:f>
      </x:c>
      <x:c r="AF10" s="36" t="str">
        <x:f>IF(AND(AF$3&lt;=$F10,AF$3+6&gt;=$E10),"■","")</x:f>
      </x:c>
      <x:c r="AG10" s="36" t="str">
        <x:f>IF(AND(AG$3&lt;=$F10,AG$3+6&gt;=$E10),"■","")</x:f>
      </x:c>
      <x:c r="AH10" s="36" t="str">
        <x:f>IF(AND(AH$3&lt;=$F10,AH$3+6&gt;=$E10),"■","")</x:f>
      </x:c>
      <x:c r="AI10" s="36" t="str">
        <x:f>IF(AND(AI$3&lt;=$F10,AI$3+6&gt;=$E10),"■","")</x:f>
      </x:c>
      <x:c r="AJ10" s="36" t="str">
        <x:f>IF(AND(AJ$3&lt;=$F10,AJ$3+6&gt;=$E10),"■","")</x:f>
      </x:c>
      <x:c r="AK10" s="36" t="str">
        <x:f>IF(AND(AK$3&lt;=$F10,AK$3+6&gt;=$E10),"■","")</x:f>
      </x:c>
      <x:c r="AL10" s="36" t="str">
        <x:f>IF(AND(AL$3&lt;=$F10,AL$3+6&gt;=$E10),"■","")</x:f>
      </x:c>
      <x:c r="AM10" s="36" t="str">
        <x:f>IF(AND(AM$3&lt;=$F10,AM$3+6&gt;=$E10),"■","")</x:f>
      </x:c>
      <x:c r="AN10" s="36" t="str">
        <x:f>IF(AND(AN$3&lt;=$F10,AN$3+6&gt;=$E10),"■","")</x:f>
      </x:c>
      <x:c r="AO10" s="36" t="str">
        <x:f>IF(AND(AO$3&lt;=$F10,AO$3+6&gt;=$E10),"■","")</x:f>
      </x:c>
      <x:c r="AP10" s="36" t="str">
        <x:f>IF(AND(AP$3&lt;=$F10,AP$3+6&gt;=$E10),"■","")</x:f>
      </x:c>
      <x:c r="AQ10" s="36" t="str">
        <x:f>IF(AND(AQ$3&lt;=$F10,AQ$3+6&gt;=$E10),"■","")</x:f>
      </x:c>
      <x:c r="AR10" s="36" t="str">
        <x:f>IF(AND(AR$3&lt;=$F10,AR$3+6&gt;=$E10),"■","")</x:f>
      </x:c>
      <x:c r="AS10" s="36" t="str">
        <x:f>IF(AND(AS$3&lt;=$F10,AS$3+6&gt;=$E10),"■","")</x:f>
      </x:c>
    </x:row>
    <x:row r="11">
      <x:c r="A11" s="27" t="str">
        <x:v>AT-020</x:v>
      </x:c>
      <x:c r="B11" s="27" t="str">
        <x:v>2.2.1</x:v>
      </x:c>
      <x:c r="C11" s="27" t="str">
        <x:v>Application solution design</x:v>
      </x:c>
      <x:c r="D11" s="27" t="str">
        <x:v>Solution Architect</x:v>
      </x:c>
      <x:c r="E11" s="35" t="n">
        <x:v>46062</x:v>
      </x:c>
      <x:c r="F11" s="35" t="n">
        <x:v>46080</x:v>
      </x:c>
      <x:c r="G11" s="36" t="str">
        <x:f>IF(AND(G$3&lt;=$F11,G$3+6&gt;=$E11),"■","")</x:f>
      </x:c>
      <x:c r="H11" s="36" t="str">
        <x:f>IF(AND(H$3&lt;=$F11,H$3+6&gt;=$E11),"■","")</x:f>
      </x:c>
      <x:c r="I11" s="36" t="str">
        <x:f>IF(AND(I$3&lt;=$F11,I$3+6&gt;=$E11),"■","")</x:f>
      </x:c>
      <x:c r="J11" s="36" t="str">
        <x:f>IF(AND(J$3&lt;=$F11,J$3+6&gt;=$E11),"■","")</x:f>
      </x:c>
      <x:c r="K11" s="36" t="str">
        <x:f>IF(AND(K$3&lt;=$F11,K$3+6&gt;=$E11),"■","")</x:f>
      </x:c>
      <x:c r="L11" s="36" t="str">
        <x:f>IF(AND(L$3&lt;=$F11,L$3+6&gt;=$E11),"■","")</x:f>
        <x:v>■</x:v>
      </x:c>
      <x:c r="M11" s="36" t="str">
        <x:f>IF(AND(M$3&lt;=$F11,M$3+6&gt;=$E11),"■","")</x:f>
        <x:v>■</x:v>
      </x:c>
      <x:c r="N11" s="36" t="str">
        <x:f>IF(AND(N$3&lt;=$F11,N$3+6&gt;=$E11),"■","")</x:f>
        <x:v>■</x:v>
      </x:c>
      <x:c r="O11" s="36" t="str">
        <x:f>IF(AND(O$3&lt;=$F11,O$3+6&gt;=$E11),"■","")</x:f>
      </x:c>
      <x:c r="P11" s="36" t="str">
        <x:f>IF(AND(P$3&lt;=$F11,P$3+6&gt;=$E11),"■","")</x:f>
      </x:c>
      <x:c r="Q11" s="36" t="str">
        <x:f>IF(AND(Q$3&lt;=$F11,Q$3+6&gt;=$E11),"■","")</x:f>
      </x:c>
      <x:c r="R11" s="36" t="str">
        <x:f>IF(AND(R$3&lt;=$F11,R$3+6&gt;=$E11),"■","")</x:f>
      </x:c>
      <x:c r="S11" s="36" t="str">
        <x:f>IF(AND(S$3&lt;=$F11,S$3+6&gt;=$E11),"■","")</x:f>
      </x:c>
      <x:c r="T11" s="36" t="str">
        <x:f>IF(AND(T$3&lt;=$F11,T$3+6&gt;=$E11),"■","")</x:f>
      </x:c>
      <x:c r="U11" s="36" t="str">
        <x:f>IF(AND(U$3&lt;=$F11,U$3+6&gt;=$E11),"■","")</x:f>
      </x:c>
      <x:c r="V11" s="36" t="str">
        <x:f>IF(AND(V$3&lt;=$F11,V$3+6&gt;=$E11),"■","")</x:f>
      </x:c>
      <x:c r="W11" s="36" t="str">
        <x:f>IF(AND(W$3&lt;=$F11,W$3+6&gt;=$E11),"■","")</x:f>
      </x:c>
      <x:c r="X11" s="36" t="str">
        <x:f>IF(AND(X$3&lt;=$F11,X$3+6&gt;=$E11),"■","")</x:f>
      </x:c>
      <x:c r="Y11" s="36" t="str">
        <x:f>IF(AND(Y$3&lt;=$F11,Y$3+6&gt;=$E11),"■","")</x:f>
      </x:c>
      <x:c r="Z11" s="36" t="str">
        <x:f>IF(AND(Z$3&lt;=$F11,Z$3+6&gt;=$E11),"■","")</x:f>
      </x:c>
      <x:c r="AA11" s="36" t="str">
        <x:f>IF(AND(AA$3&lt;=$F11,AA$3+6&gt;=$E11),"■","")</x:f>
      </x:c>
      <x:c r="AB11" s="36" t="str">
        <x:f>IF(AND(AB$3&lt;=$F11,AB$3+6&gt;=$E11),"■","")</x:f>
      </x:c>
      <x:c r="AC11" s="36" t="str">
        <x:f>IF(AND(AC$3&lt;=$F11,AC$3+6&gt;=$E11),"■","")</x:f>
      </x:c>
      <x:c r="AD11" s="36" t="str">
        <x:f>IF(AND(AD$3&lt;=$F11,AD$3+6&gt;=$E11),"■","")</x:f>
      </x:c>
      <x:c r="AE11" s="36" t="str">
        <x:f>IF(AND(AE$3&lt;=$F11,AE$3+6&gt;=$E11),"■","")</x:f>
      </x:c>
      <x:c r="AF11" s="36" t="str">
        <x:f>IF(AND(AF$3&lt;=$F11,AF$3+6&gt;=$E11),"■","")</x:f>
      </x:c>
      <x:c r="AG11" s="36" t="str">
        <x:f>IF(AND(AG$3&lt;=$F11,AG$3+6&gt;=$E11),"■","")</x:f>
      </x:c>
      <x:c r="AH11" s="36" t="str">
        <x:f>IF(AND(AH$3&lt;=$F11,AH$3+6&gt;=$E11),"■","")</x:f>
      </x:c>
      <x:c r="AI11" s="36" t="str">
        <x:f>IF(AND(AI$3&lt;=$F11,AI$3+6&gt;=$E11),"■","")</x:f>
      </x:c>
      <x:c r="AJ11" s="36" t="str">
        <x:f>IF(AND(AJ$3&lt;=$F11,AJ$3+6&gt;=$E11),"■","")</x:f>
      </x:c>
      <x:c r="AK11" s="36" t="str">
        <x:f>IF(AND(AK$3&lt;=$F11,AK$3+6&gt;=$E11),"■","")</x:f>
      </x:c>
      <x:c r="AL11" s="36" t="str">
        <x:f>IF(AND(AL$3&lt;=$F11,AL$3+6&gt;=$E11),"■","")</x:f>
      </x:c>
      <x:c r="AM11" s="36" t="str">
        <x:f>IF(AND(AM$3&lt;=$F11,AM$3+6&gt;=$E11),"■","")</x:f>
      </x:c>
      <x:c r="AN11" s="36" t="str">
        <x:f>IF(AND(AN$3&lt;=$F11,AN$3+6&gt;=$E11),"■","")</x:f>
      </x:c>
      <x:c r="AO11" s="36" t="str">
        <x:f>IF(AND(AO$3&lt;=$F11,AO$3+6&gt;=$E11),"■","")</x:f>
      </x:c>
      <x:c r="AP11" s="36" t="str">
        <x:f>IF(AND(AP$3&lt;=$F11,AP$3+6&gt;=$E11),"■","")</x:f>
      </x:c>
      <x:c r="AQ11" s="36" t="str">
        <x:f>IF(AND(AQ$3&lt;=$F11,AQ$3+6&gt;=$E11),"■","")</x:f>
      </x:c>
      <x:c r="AR11" s="36" t="str">
        <x:f>IF(AND(AR$3&lt;=$F11,AR$3+6&gt;=$E11),"■","")</x:f>
      </x:c>
      <x:c r="AS11" s="36" t="str">
        <x:f>IF(AND(AS$3&lt;=$F11,AS$3+6&gt;=$E11),"■","")</x:f>
      </x:c>
    </x:row>
    <x:row r="12">
      <x:c r="A12" s="27" t="str">
        <x:v>AT-021</x:v>
      </x:c>
      <x:c r="B12" s="27" t="str">
        <x:v>2.2.2</x:v>
      </x:c>
      <x:c r="C12" s="27" t="str">
        <x:v>Integration solution design</x:v>
      </x:c>
      <x:c r="D12" s="27" t="str">
        <x:v>Integration &amp; Data Migration Lead</x:v>
      </x:c>
      <x:c r="E12" s="35" t="n">
        <x:v>46062</x:v>
      </x:c>
      <x:c r="F12" s="35" t="n">
        <x:v>46077</x:v>
      </x:c>
      <x:c r="G12" s="36" t="str">
        <x:f>IF(AND(G$3&lt;=$F12,G$3+6&gt;=$E12),"■","")</x:f>
      </x:c>
      <x:c r="H12" s="36" t="str">
        <x:f>IF(AND(H$3&lt;=$F12,H$3+6&gt;=$E12),"■","")</x:f>
      </x:c>
      <x:c r="I12" s="36" t="str">
        <x:f>IF(AND(I$3&lt;=$F12,I$3+6&gt;=$E12),"■","")</x:f>
      </x:c>
      <x:c r="J12" s="36" t="str">
        <x:f>IF(AND(J$3&lt;=$F12,J$3+6&gt;=$E12),"■","")</x:f>
      </x:c>
      <x:c r="K12" s="36" t="str">
        <x:f>IF(AND(K$3&lt;=$F12,K$3+6&gt;=$E12),"■","")</x:f>
      </x:c>
      <x:c r="L12" s="36" t="str">
        <x:f>IF(AND(L$3&lt;=$F12,L$3+6&gt;=$E12),"■","")</x:f>
        <x:v>■</x:v>
      </x:c>
      <x:c r="M12" s="36" t="str">
        <x:f>IF(AND(M$3&lt;=$F12,M$3+6&gt;=$E12),"■","")</x:f>
        <x:v>■</x:v>
      </x:c>
      <x:c r="N12" s="36" t="str">
        <x:f>IF(AND(N$3&lt;=$F12,N$3+6&gt;=$E12),"■","")</x:f>
        <x:v>■</x:v>
      </x:c>
      <x:c r="O12" s="36" t="str">
        <x:f>IF(AND(O$3&lt;=$F12,O$3+6&gt;=$E12),"■","")</x:f>
      </x:c>
      <x:c r="P12" s="36" t="str">
        <x:f>IF(AND(P$3&lt;=$F12,P$3+6&gt;=$E12),"■","")</x:f>
      </x:c>
      <x:c r="Q12" s="36" t="str">
        <x:f>IF(AND(Q$3&lt;=$F12,Q$3+6&gt;=$E12),"■","")</x:f>
      </x:c>
      <x:c r="R12" s="36" t="str">
        <x:f>IF(AND(R$3&lt;=$F12,R$3+6&gt;=$E12),"■","")</x:f>
      </x:c>
      <x:c r="S12" s="36" t="str">
        <x:f>IF(AND(S$3&lt;=$F12,S$3+6&gt;=$E12),"■","")</x:f>
      </x:c>
      <x:c r="T12" s="36" t="str">
        <x:f>IF(AND(T$3&lt;=$F12,T$3+6&gt;=$E12),"■","")</x:f>
      </x:c>
      <x:c r="U12" s="36" t="str">
        <x:f>IF(AND(U$3&lt;=$F12,U$3+6&gt;=$E12),"■","")</x:f>
      </x:c>
      <x:c r="V12" s="36" t="str">
        <x:f>IF(AND(V$3&lt;=$F12,V$3+6&gt;=$E12),"■","")</x:f>
      </x:c>
      <x:c r="W12" s="36" t="str">
        <x:f>IF(AND(W$3&lt;=$F12,W$3+6&gt;=$E12),"■","")</x:f>
      </x:c>
      <x:c r="X12" s="36" t="str">
        <x:f>IF(AND(X$3&lt;=$F12,X$3+6&gt;=$E12),"■","")</x:f>
      </x:c>
      <x:c r="Y12" s="36" t="str">
        <x:f>IF(AND(Y$3&lt;=$F12,Y$3+6&gt;=$E12),"■","")</x:f>
      </x:c>
      <x:c r="Z12" s="36" t="str">
        <x:f>IF(AND(Z$3&lt;=$F12,Z$3+6&gt;=$E12),"■","")</x:f>
      </x:c>
      <x:c r="AA12" s="36" t="str">
        <x:f>IF(AND(AA$3&lt;=$F12,AA$3+6&gt;=$E12),"■","")</x:f>
      </x:c>
      <x:c r="AB12" s="36" t="str">
        <x:f>IF(AND(AB$3&lt;=$F12,AB$3+6&gt;=$E12),"■","")</x:f>
      </x:c>
      <x:c r="AC12" s="36" t="str">
        <x:f>IF(AND(AC$3&lt;=$F12,AC$3+6&gt;=$E12),"■","")</x:f>
      </x:c>
      <x:c r="AD12" s="36" t="str">
        <x:f>IF(AND(AD$3&lt;=$F12,AD$3+6&gt;=$E12),"■","")</x:f>
      </x:c>
      <x:c r="AE12" s="36" t="str">
        <x:f>IF(AND(AE$3&lt;=$F12,AE$3+6&gt;=$E12),"■","")</x:f>
      </x:c>
      <x:c r="AF12" s="36" t="str">
        <x:f>IF(AND(AF$3&lt;=$F12,AF$3+6&gt;=$E12),"■","")</x:f>
      </x:c>
      <x:c r="AG12" s="36" t="str">
        <x:f>IF(AND(AG$3&lt;=$F12,AG$3+6&gt;=$E12),"■","")</x:f>
      </x:c>
      <x:c r="AH12" s="36" t="str">
        <x:f>IF(AND(AH$3&lt;=$F12,AH$3+6&gt;=$E12),"■","")</x:f>
      </x:c>
      <x:c r="AI12" s="36" t="str">
        <x:f>IF(AND(AI$3&lt;=$F12,AI$3+6&gt;=$E12),"■","")</x:f>
      </x:c>
      <x:c r="AJ12" s="36" t="str">
        <x:f>IF(AND(AJ$3&lt;=$F12,AJ$3+6&gt;=$E12),"■","")</x:f>
      </x:c>
      <x:c r="AK12" s="36" t="str">
        <x:f>IF(AND(AK$3&lt;=$F12,AK$3+6&gt;=$E12),"■","")</x:f>
      </x:c>
      <x:c r="AL12" s="36" t="str">
        <x:f>IF(AND(AL$3&lt;=$F12,AL$3+6&gt;=$E12),"■","")</x:f>
      </x:c>
      <x:c r="AM12" s="36" t="str">
        <x:f>IF(AND(AM$3&lt;=$F12,AM$3+6&gt;=$E12),"■","")</x:f>
      </x:c>
      <x:c r="AN12" s="36" t="str">
        <x:f>IF(AND(AN$3&lt;=$F12,AN$3+6&gt;=$E12),"■","")</x:f>
      </x:c>
      <x:c r="AO12" s="36" t="str">
        <x:f>IF(AND(AO$3&lt;=$F12,AO$3+6&gt;=$E12),"■","")</x:f>
      </x:c>
      <x:c r="AP12" s="36" t="str">
        <x:f>IF(AND(AP$3&lt;=$F12,AP$3+6&gt;=$E12),"■","")</x:f>
      </x:c>
      <x:c r="AQ12" s="36" t="str">
        <x:f>IF(AND(AQ$3&lt;=$F12,AQ$3+6&gt;=$E12),"■","")</x:f>
      </x:c>
      <x:c r="AR12" s="36" t="str">
        <x:f>IF(AND(AR$3&lt;=$F12,AR$3+6&gt;=$E12),"■","")</x:f>
      </x:c>
      <x:c r="AS12" s="36" t="str">
        <x:f>IF(AND(AS$3&lt;=$F12,AS$3+6&gt;=$E12),"■","")</x:f>
      </x:c>
    </x:row>
    <x:row r="13">
      <x:c r="A13" s="27" t="str">
        <x:v>AT-022</x:v>
      </x:c>
      <x:c r="B13" s="27" t="str">
        <x:v>2.2.3</x:v>
      </x:c>
      <x:c r="C13" s="27" t="str">
        <x:v>Data migration design</x:v>
      </x:c>
      <x:c r="D13" s="27" t="str">
        <x:v>Integration &amp; Data Migration Lead</x:v>
      </x:c>
      <x:c r="E13" s="35" t="n">
        <x:v>46069</x:v>
      </x:c>
      <x:c r="F13" s="35" t="n">
        <x:v>46083</x:v>
      </x:c>
      <x:c r="G13" s="36" t="str">
        <x:f>IF(AND(G$3&lt;=$F13,G$3+6&gt;=$E13),"■","")</x:f>
      </x:c>
      <x:c r="H13" s="36" t="str">
        <x:f>IF(AND(H$3&lt;=$F13,H$3+6&gt;=$E13),"■","")</x:f>
      </x:c>
      <x:c r="I13" s="36" t="str">
        <x:f>IF(AND(I$3&lt;=$F13,I$3+6&gt;=$E13),"■","")</x:f>
      </x:c>
      <x:c r="J13" s="36" t="str">
        <x:f>IF(AND(J$3&lt;=$F13,J$3+6&gt;=$E13),"■","")</x:f>
      </x:c>
      <x:c r="K13" s="36" t="str">
        <x:f>IF(AND(K$3&lt;=$F13,K$3+6&gt;=$E13),"■","")</x:f>
      </x:c>
      <x:c r="L13" s="36" t="str">
        <x:f>IF(AND(L$3&lt;=$F13,L$3+6&gt;=$E13),"■","")</x:f>
      </x:c>
      <x:c r="M13" s="36" t="str">
        <x:f>IF(AND(M$3&lt;=$F13,M$3+6&gt;=$E13),"■","")</x:f>
        <x:v>■</x:v>
      </x:c>
      <x:c r="N13" s="36" t="str">
        <x:f>IF(AND(N$3&lt;=$F13,N$3+6&gt;=$E13),"■","")</x:f>
        <x:v>■</x:v>
      </x:c>
      <x:c r="O13" s="36" t="str">
        <x:f>IF(AND(O$3&lt;=$F13,O$3+6&gt;=$E13),"■","")</x:f>
        <x:v>■</x:v>
      </x:c>
      <x:c r="P13" s="36" t="str">
        <x:f>IF(AND(P$3&lt;=$F13,P$3+6&gt;=$E13),"■","")</x:f>
      </x:c>
      <x:c r="Q13" s="36" t="str">
        <x:f>IF(AND(Q$3&lt;=$F13,Q$3+6&gt;=$E13),"■","")</x:f>
      </x:c>
      <x:c r="R13" s="36" t="str">
        <x:f>IF(AND(R$3&lt;=$F13,R$3+6&gt;=$E13),"■","")</x:f>
      </x:c>
      <x:c r="S13" s="36" t="str">
        <x:f>IF(AND(S$3&lt;=$F13,S$3+6&gt;=$E13),"■","")</x:f>
      </x:c>
      <x:c r="T13" s="36" t="str">
        <x:f>IF(AND(T$3&lt;=$F13,T$3+6&gt;=$E13),"■","")</x:f>
      </x:c>
      <x:c r="U13" s="36" t="str">
        <x:f>IF(AND(U$3&lt;=$F13,U$3+6&gt;=$E13),"■","")</x:f>
      </x:c>
      <x:c r="V13" s="36" t="str">
        <x:f>IF(AND(V$3&lt;=$F13,V$3+6&gt;=$E13),"■","")</x:f>
      </x:c>
      <x:c r="W13" s="36" t="str">
        <x:f>IF(AND(W$3&lt;=$F13,W$3+6&gt;=$E13),"■","")</x:f>
      </x:c>
      <x:c r="X13" s="36" t="str">
        <x:f>IF(AND(X$3&lt;=$F13,X$3+6&gt;=$E13),"■","")</x:f>
      </x:c>
      <x:c r="Y13" s="36" t="str">
        <x:f>IF(AND(Y$3&lt;=$F13,Y$3+6&gt;=$E13),"■","")</x:f>
      </x:c>
      <x:c r="Z13" s="36" t="str">
        <x:f>IF(AND(Z$3&lt;=$F13,Z$3+6&gt;=$E13),"■","")</x:f>
      </x:c>
      <x:c r="AA13" s="36" t="str">
        <x:f>IF(AND(AA$3&lt;=$F13,AA$3+6&gt;=$E13),"■","")</x:f>
      </x:c>
      <x:c r="AB13" s="36" t="str">
        <x:f>IF(AND(AB$3&lt;=$F13,AB$3+6&gt;=$E13),"■","")</x:f>
      </x:c>
      <x:c r="AC13" s="36" t="str">
        <x:f>IF(AND(AC$3&lt;=$F13,AC$3+6&gt;=$E13),"■","")</x:f>
      </x:c>
      <x:c r="AD13" s="36" t="str">
        <x:f>IF(AND(AD$3&lt;=$F13,AD$3+6&gt;=$E13),"■","")</x:f>
      </x:c>
      <x:c r="AE13" s="36" t="str">
        <x:f>IF(AND(AE$3&lt;=$F13,AE$3+6&gt;=$E13),"■","")</x:f>
      </x:c>
      <x:c r="AF13" s="36" t="str">
        <x:f>IF(AND(AF$3&lt;=$F13,AF$3+6&gt;=$E13),"■","")</x:f>
      </x:c>
      <x:c r="AG13" s="36" t="str">
        <x:f>IF(AND(AG$3&lt;=$F13,AG$3+6&gt;=$E13),"■","")</x:f>
      </x:c>
      <x:c r="AH13" s="36" t="str">
        <x:f>IF(AND(AH$3&lt;=$F13,AH$3+6&gt;=$E13),"■","")</x:f>
      </x:c>
      <x:c r="AI13" s="36" t="str">
        <x:f>IF(AND(AI$3&lt;=$F13,AI$3+6&gt;=$E13),"■","")</x:f>
      </x:c>
      <x:c r="AJ13" s="36" t="str">
        <x:f>IF(AND(AJ$3&lt;=$F13,AJ$3+6&gt;=$E13),"■","")</x:f>
      </x:c>
      <x:c r="AK13" s="36" t="str">
        <x:f>IF(AND(AK$3&lt;=$F13,AK$3+6&gt;=$E13),"■","")</x:f>
      </x:c>
      <x:c r="AL13" s="36" t="str">
        <x:f>IF(AND(AL$3&lt;=$F13,AL$3+6&gt;=$E13),"■","")</x:f>
      </x:c>
      <x:c r="AM13" s="36" t="str">
        <x:f>IF(AND(AM$3&lt;=$F13,AM$3+6&gt;=$E13),"■","")</x:f>
      </x:c>
      <x:c r="AN13" s="36" t="str">
        <x:f>IF(AND(AN$3&lt;=$F13,AN$3+6&gt;=$E13),"■","")</x:f>
      </x:c>
      <x:c r="AO13" s="36" t="str">
        <x:f>IF(AND(AO$3&lt;=$F13,AO$3+6&gt;=$E13),"■","")</x:f>
      </x:c>
      <x:c r="AP13" s="36" t="str">
        <x:f>IF(AND(AP$3&lt;=$F13,AP$3+6&gt;=$E13),"■","")</x:f>
      </x:c>
      <x:c r="AQ13" s="36" t="str">
        <x:f>IF(AND(AQ$3&lt;=$F13,AQ$3+6&gt;=$E13),"■","")</x:f>
      </x:c>
      <x:c r="AR13" s="36" t="str">
        <x:f>IF(AND(AR$3&lt;=$F13,AR$3+6&gt;=$E13),"■","")</x:f>
      </x:c>
      <x:c r="AS13" s="36" t="str">
        <x:f>IF(AND(AS$3&lt;=$F13,AS$3+6&gt;=$E13),"■","")</x:f>
      </x:c>
    </x:row>
    <x:row r="14">
      <x:c r="A14" s="27" t="str">
        <x:v>AT-023</x:v>
      </x:c>
      <x:c r="B14" s="27" t="str">
        <x:v>2.2.4</x:v>
      </x:c>
      <x:c r="C14" s="27" t="str">
        <x:v>Security and access design</x:v>
      </x:c>
      <x:c r="D14" s="27" t="str">
        <x:v>Solution Architect</x:v>
      </x:c>
      <x:c r="E14" s="35" t="n">
        <x:v>46069</x:v>
      </x:c>
      <x:c r="F14" s="35" t="n">
        <x:v>46080</x:v>
      </x:c>
      <x:c r="G14" s="36" t="str">
        <x:f>IF(AND(G$3&lt;=$F14,G$3+6&gt;=$E14),"■","")</x:f>
      </x:c>
      <x:c r="H14" s="36" t="str">
        <x:f>IF(AND(H$3&lt;=$F14,H$3+6&gt;=$E14),"■","")</x:f>
      </x:c>
      <x:c r="I14" s="36" t="str">
        <x:f>IF(AND(I$3&lt;=$F14,I$3+6&gt;=$E14),"■","")</x:f>
      </x:c>
      <x:c r="J14" s="36" t="str">
        <x:f>IF(AND(J$3&lt;=$F14,J$3+6&gt;=$E14),"■","")</x:f>
      </x:c>
      <x:c r="K14" s="36" t="str">
        <x:f>IF(AND(K$3&lt;=$F14,K$3+6&gt;=$E14),"■","")</x:f>
      </x:c>
      <x:c r="L14" s="36" t="str">
        <x:f>IF(AND(L$3&lt;=$F14,L$3+6&gt;=$E14),"■","")</x:f>
      </x:c>
      <x:c r="M14" s="36" t="str">
        <x:f>IF(AND(M$3&lt;=$F14,M$3+6&gt;=$E14),"■","")</x:f>
        <x:v>■</x:v>
      </x:c>
      <x:c r="N14" s="36" t="str">
        <x:f>IF(AND(N$3&lt;=$F14,N$3+6&gt;=$E14),"■","")</x:f>
        <x:v>■</x:v>
      </x:c>
      <x:c r="O14" s="36" t="str">
        <x:f>IF(AND(O$3&lt;=$F14,O$3+6&gt;=$E14),"■","")</x:f>
      </x:c>
      <x:c r="P14" s="36" t="str">
        <x:f>IF(AND(P$3&lt;=$F14,P$3+6&gt;=$E14),"■","")</x:f>
      </x:c>
      <x:c r="Q14" s="36" t="str">
        <x:f>IF(AND(Q$3&lt;=$F14,Q$3+6&gt;=$E14),"■","")</x:f>
      </x:c>
      <x:c r="R14" s="36" t="str">
        <x:f>IF(AND(R$3&lt;=$F14,R$3+6&gt;=$E14),"■","")</x:f>
      </x:c>
      <x:c r="S14" s="36" t="str">
        <x:f>IF(AND(S$3&lt;=$F14,S$3+6&gt;=$E14),"■","")</x:f>
      </x:c>
      <x:c r="T14" s="36" t="str">
        <x:f>IF(AND(T$3&lt;=$F14,T$3+6&gt;=$E14),"■","")</x:f>
      </x:c>
      <x:c r="U14" s="36" t="str">
        <x:f>IF(AND(U$3&lt;=$F14,U$3+6&gt;=$E14),"■","")</x:f>
      </x:c>
      <x:c r="V14" s="36" t="str">
        <x:f>IF(AND(V$3&lt;=$F14,V$3+6&gt;=$E14),"■","")</x:f>
      </x:c>
      <x:c r="W14" s="36" t="str">
        <x:f>IF(AND(W$3&lt;=$F14,W$3+6&gt;=$E14),"■","")</x:f>
      </x:c>
      <x:c r="X14" s="36" t="str">
        <x:f>IF(AND(X$3&lt;=$F14,X$3+6&gt;=$E14),"■","")</x:f>
      </x:c>
      <x:c r="Y14" s="36" t="str">
        <x:f>IF(AND(Y$3&lt;=$F14,Y$3+6&gt;=$E14),"■","")</x:f>
      </x:c>
      <x:c r="Z14" s="36" t="str">
        <x:f>IF(AND(Z$3&lt;=$F14,Z$3+6&gt;=$E14),"■","")</x:f>
      </x:c>
      <x:c r="AA14" s="36" t="str">
        <x:f>IF(AND(AA$3&lt;=$F14,AA$3+6&gt;=$E14),"■","")</x:f>
      </x:c>
      <x:c r="AB14" s="36" t="str">
        <x:f>IF(AND(AB$3&lt;=$F14,AB$3+6&gt;=$E14),"■","")</x:f>
      </x:c>
      <x:c r="AC14" s="36" t="str">
        <x:f>IF(AND(AC$3&lt;=$F14,AC$3+6&gt;=$E14),"■","")</x:f>
      </x:c>
      <x:c r="AD14" s="36" t="str">
        <x:f>IF(AND(AD$3&lt;=$F14,AD$3+6&gt;=$E14),"■","")</x:f>
      </x:c>
      <x:c r="AE14" s="36" t="str">
        <x:f>IF(AND(AE$3&lt;=$F14,AE$3+6&gt;=$E14),"■","")</x:f>
      </x:c>
      <x:c r="AF14" s="36" t="str">
        <x:f>IF(AND(AF$3&lt;=$F14,AF$3+6&gt;=$E14),"■","")</x:f>
      </x:c>
      <x:c r="AG14" s="36" t="str">
        <x:f>IF(AND(AG$3&lt;=$F14,AG$3+6&gt;=$E14),"■","")</x:f>
      </x:c>
      <x:c r="AH14" s="36" t="str">
        <x:f>IF(AND(AH$3&lt;=$F14,AH$3+6&gt;=$E14),"■","")</x:f>
      </x:c>
      <x:c r="AI14" s="36" t="str">
        <x:f>IF(AND(AI$3&lt;=$F14,AI$3+6&gt;=$E14),"■","")</x:f>
      </x:c>
      <x:c r="AJ14" s="36" t="str">
        <x:f>IF(AND(AJ$3&lt;=$F14,AJ$3+6&gt;=$E14),"■","")</x:f>
      </x:c>
      <x:c r="AK14" s="36" t="str">
        <x:f>IF(AND(AK$3&lt;=$F14,AK$3+6&gt;=$E14),"■","")</x:f>
      </x:c>
      <x:c r="AL14" s="36" t="str">
        <x:f>IF(AND(AL$3&lt;=$F14,AL$3+6&gt;=$E14),"■","")</x:f>
      </x:c>
      <x:c r="AM14" s="36" t="str">
        <x:f>IF(AND(AM$3&lt;=$F14,AM$3+6&gt;=$E14),"■","")</x:f>
      </x:c>
      <x:c r="AN14" s="36" t="str">
        <x:f>IF(AND(AN$3&lt;=$F14,AN$3+6&gt;=$E14),"■","")</x:f>
      </x:c>
      <x:c r="AO14" s="36" t="str">
        <x:f>IF(AND(AO$3&lt;=$F14,AO$3+6&gt;=$E14),"■","")</x:f>
      </x:c>
      <x:c r="AP14" s="36" t="str">
        <x:f>IF(AND(AP$3&lt;=$F14,AP$3+6&gt;=$E14),"■","")</x:f>
      </x:c>
      <x:c r="AQ14" s="36" t="str">
        <x:f>IF(AND(AQ$3&lt;=$F14,AQ$3+6&gt;=$E14),"■","")</x:f>
      </x:c>
      <x:c r="AR14" s="36" t="str">
        <x:f>IF(AND(AR$3&lt;=$F14,AR$3+6&gt;=$E14),"■","")</x:f>
      </x:c>
      <x:c r="AS14" s="36" t="str">
        <x:f>IF(AND(AS$3&lt;=$F14,AS$3+6&gt;=$E14),"■","")</x:f>
      </x:c>
    </x:row>
    <x:row r="15">
      <x:c r="A15" s="27" t="str">
        <x:v>AT-024</x:v>
      </x:c>
      <x:c r="B15" s="27" t="str">
        <x:v>2.2.5</x:v>
      </x:c>
      <x:c r="C15" s="27" t="str">
        <x:v>Operational and support design</x:v>
      </x:c>
      <x:c r="D15" s="27" t="str">
        <x:v>Solution Architect</x:v>
      </x:c>
      <x:c r="E15" s="35" t="n">
        <x:v>46076</x:v>
      </x:c>
      <x:c r="F15" s="35" t="n">
        <x:v>46084</x:v>
      </x:c>
      <x:c r="G15" s="36" t="str">
        <x:f>IF(AND(G$3&lt;=$F15,G$3+6&gt;=$E15),"■","")</x:f>
      </x:c>
      <x:c r="H15" s="36" t="str">
        <x:f>IF(AND(H$3&lt;=$F15,H$3+6&gt;=$E15),"■","")</x:f>
      </x:c>
      <x:c r="I15" s="36" t="str">
        <x:f>IF(AND(I$3&lt;=$F15,I$3+6&gt;=$E15),"■","")</x:f>
      </x:c>
      <x:c r="J15" s="36" t="str">
        <x:f>IF(AND(J$3&lt;=$F15,J$3+6&gt;=$E15),"■","")</x:f>
      </x:c>
      <x:c r="K15" s="36" t="str">
        <x:f>IF(AND(K$3&lt;=$F15,K$3+6&gt;=$E15),"■","")</x:f>
      </x:c>
      <x:c r="L15" s="36" t="str">
        <x:f>IF(AND(L$3&lt;=$F15,L$3+6&gt;=$E15),"■","")</x:f>
      </x:c>
      <x:c r="M15" s="36" t="str">
        <x:f>IF(AND(M$3&lt;=$F15,M$3+6&gt;=$E15),"■","")</x:f>
      </x:c>
      <x:c r="N15" s="36" t="str">
        <x:f>IF(AND(N$3&lt;=$F15,N$3+6&gt;=$E15),"■","")</x:f>
        <x:v>■</x:v>
      </x:c>
      <x:c r="O15" s="36" t="str">
        <x:f>IF(AND(O$3&lt;=$F15,O$3+6&gt;=$E15),"■","")</x:f>
        <x:v>■</x:v>
      </x:c>
      <x:c r="P15" s="36" t="str">
        <x:f>IF(AND(P$3&lt;=$F15,P$3+6&gt;=$E15),"■","")</x:f>
      </x:c>
      <x:c r="Q15" s="36" t="str">
        <x:f>IF(AND(Q$3&lt;=$F15,Q$3+6&gt;=$E15),"■","")</x:f>
      </x:c>
      <x:c r="R15" s="36" t="str">
        <x:f>IF(AND(R$3&lt;=$F15,R$3+6&gt;=$E15),"■","")</x:f>
      </x:c>
      <x:c r="S15" s="36" t="str">
        <x:f>IF(AND(S$3&lt;=$F15,S$3+6&gt;=$E15),"■","")</x:f>
      </x:c>
      <x:c r="T15" s="36" t="str">
        <x:f>IF(AND(T$3&lt;=$F15,T$3+6&gt;=$E15),"■","")</x:f>
      </x:c>
      <x:c r="U15" s="36" t="str">
        <x:f>IF(AND(U$3&lt;=$F15,U$3+6&gt;=$E15),"■","")</x:f>
      </x:c>
      <x:c r="V15" s="36" t="str">
        <x:f>IF(AND(V$3&lt;=$F15,V$3+6&gt;=$E15),"■","")</x:f>
      </x:c>
      <x:c r="W15" s="36" t="str">
        <x:f>IF(AND(W$3&lt;=$F15,W$3+6&gt;=$E15),"■","")</x:f>
      </x:c>
      <x:c r="X15" s="36" t="str">
        <x:f>IF(AND(X$3&lt;=$F15,X$3+6&gt;=$E15),"■","")</x:f>
      </x:c>
      <x:c r="Y15" s="36" t="str">
        <x:f>IF(AND(Y$3&lt;=$F15,Y$3+6&gt;=$E15),"■","")</x:f>
      </x:c>
      <x:c r="Z15" s="36" t="str">
        <x:f>IF(AND(Z$3&lt;=$F15,Z$3+6&gt;=$E15),"■","")</x:f>
      </x:c>
      <x:c r="AA15" s="36" t="str">
        <x:f>IF(AND(AA$3&lt;=$F15,AA$3+6&gt;=$E15),"■","")</x:f>
      </x:c>
      <x:c r="AB15" s="36" t="str">
        <x:f>IF(AND(AB$3&lt;=$F15,AB$3+6&gt;=$E15),"■","")</x:f>
      </x:c>
      <x:c r="AC15" s="36" t="str">
        <x:f>IF(AND(AC$3&lt;=$F15,AC$3+6&gt;=$E15),"■","")</x:f>
      </x:c>
      <x:c r="AD15" s="36" t="str">
        <x:f>IF(AND(AD$3&lt;=$F15,AD$3+6&gt;=$E15),"■","")</x:f>
      </x:c>
      <x:c r="AE15" s="36" t="str">
        <x:f>IF(AND(AE$3&lt;=$F15,AE$3+6&gt;=$E15),"■","")</x:f>
      </x:c>
      <x:c r="AF15" s="36" t="str">
        <x:f>IF(AND(AF$3&lt;=$F15,AF$3+6&gt;=$E15),"■","")</x:f>
      </x:c>
      <x:c r="AG15" s="36" t="str">
        <x:f>IF(AND(AG$3&lt;=$F15,AG$3+6&gt;=$E15),"■","")</x:f>
      </x:c>
      <x:c r="AH15" s="36" t="str">
        <x:f>IF(AND(AH$3&lt;=$F15,AH$3+6&gt;=$E15),"■","")</x:f>
      </x:c>
      <x:c r="AI15" s="36" t="str">
        <x:f>IF(AND(AI$3&lt;=$F15,AI$3+6&gt;=$E15),"■","")</x:f>
      </x:c>
      <x:c r="AJ15" s="36" t="str">
        <x:f>IF(AND(AJ$3&lt;=$F15,AJ$3+6&gt;=$E15),"■","")</x:f>
      </x:c>
      <x:c r="AK15" s="36" t="str">
        <x:f>IF(AND(AK$3&lt;=$F15,AK$3+6&gt;=$E15),"■","")</x:f>
      </x:c>
      <x:c r="AL15" s="36" t="str">
        <x:f>IF(AND(AL$3&lt;=$F15,AL$3+6&gt;=$E15),"■","")</x:f>
      </x:c>
      <x:c r="AM15" s="36" t="str">
        <x:f>IF(AND(AM$3&lt;=$F15,AM$3+6&gt;=$E15),"■","")</x:f>
      </x:c>
      <x:c r="AN15" s="36" t="str">
        <x:f>IF(AND(AN$3&lt;=$F15,AN$3+6&gt;=$E15),"■","")</x:f>
      </x:c>
      <x:c r="AO15" s="36" t="str">
        <x:f>IF(AND(AO$3&lt;=$F15,AO$3+6&gt;=$E15),"■","")</x:f>
      </x:c>
      <x:c r="AP15" s="36" t="str">
        <x:f>IF(AND(AP$3&lt;=$F15,AP$3+6&gt;=$E15),"■","")</x:f>
      </x:c>
      <x:c r="AQ15" s="36" t="str">
        <x:f>IF(AND(AQ$3&lt;=$F15,AQ$3+6&gt;=$E15),"■","")</x:f>
      </x:c>
      <x:c r="AR15" s="36" t="str">
        <x:f>IF(AND(AR$3&lt;=$F15,AR$3+6&gt;=$E15),"■","")</x:f>
      </x:c>
      <x:c r="AS15" s="36" t="str">
        <x:f>IF(AND(AS$3&lt;=$F15,AS$3+6&gt;=$E15),"■","")</x:f>
      </x:c>
    </x:row>
    <x:row r="16">
      <x:c r="A16" s="27" t="str">
        <x:v>AT-025</x:v>
      </x:c>
      <x:c r="B16" s="27" t="str">
        <x:v>2.2.6</x:v>
      </x:c>
      <x:c r="C16" s="27" t="str">
        <x:v>Consolidated design review and closure</x:v>
      </x:c>
      <x:c r="D16" s="27" t="str">
        <x:v>Solution Architect</x:v>
      </x:c>
      <x:c r="E16" s="35" t="n">
        <x:v>46083</x:v>
      </x:c>
      <x:c r="F16" s="35" t="n">
        <x:v>46087</x:v>
      </x:c>
      <x:c r="G16" s="36" t="str">
        <x:f>IF(AND(G$3&lt;=$F16,G$3+6&gt;=$E16),"■","")</x:f>
      </x:c>
      <x:c r="H16" s="36" t="str">
        <x:f>IF(AND(H$3&lt;=$F16,H$3+6&gt;=$E16),"■","")</x:f>
      </x:c>
      <x:c r="I16" s="36" t="str">
        <x:f>IF(AND(I$3&lt;=$F16,I$3+6&gt;=$E16),"■","")</x:f>
      </x:c>
      <x:c r="J16" s="36" t="str">
        <x:f>IF(AND(J$3&lt;=$F16,J$3+6&gt;=$E16),"■","")</x:f>
      </x:c>
      <x:c r="K16" s="36" t="str">
        <x:f>IF(AND(K$3&lt;=$F16,K$3+6&gt;=$E16),"■","")</x:f>
      </x:c>
      <x:c r="L16" s="36" t="str">
        <x:f>IF(AND(L$3&lt;=$F16,L$3+6&gt;=$E16),"■","")</x:f>
      </x:c>
      <x:c r="M16" s="36" t="str">
        <x:f>IF(AND(M$3&lt;=$F16,M$3+6&gt;=$E16),"■","")</x:f>
      </x:c>
      <x:c r="N16" s="36" t="str">
        <x:f>IF(AND(N$3&lt;=$F16,N$3+6&gt;=$E16),"■","")</x:f>
      </x:c>
      <x:c r="O16" s="36" t="str">
        <x:f>IF(AND(O$3&lt;=$F16,O$3+6&gt;=$E16),"■","")</x:f>
        <x:v>■</x:v>
      </x:c>
      <x:c r="P16" s="36" t="str">
        <x:f>IF(AND(P$3&lt;=$F16,P$3+6&gt;=$E16),"■","")</x:f>
      </x:c>
      <x:c r="Q16" s="36" t="str">
        <x:f>IF(AND(Q$3&lt;=$F16,Q$3+6&gt;=$E16),"■","")</x:f>
      </x:c>
      <x:c r="R16" s="36" t="str">
        <x:f>IF(AND(R$3&lt;=$F16,R$3+6&gt;=$E16),"■","")</x:f>
      </x:c>
      <x:c r="S16" s="36" t="str">
        <x:f>IF(AND(S$3&lt;=$F16,S$3+6&gt;=$E16),"■","")</x:f>
      </x:c>
      <x:c r="T16" s="36" t="str">
        <x:f>IF(AND(T$3&lt;=$F16,T$3+6&gt;=$E16),"■","")</x:f>
      </x:c>
      <x:c r="U16" s="36" t="str">
        <x:f>IF(AND(U$3&lt;=$F16,U$3+6&gt;=$E16),"■","")</x:f>
      </x:c>
      <x:c r="V16" s="36" t="str">
        <x:f>IF(AND(V$3&lt;=$F16,V$3+6&gt;=$E16),"■","")</x:f>
      </x:c>
      <x:c r="W16" s="36" t="str">
        <x:f>IF(AND(W$3&lt;=$F16,W$3+6&gt;=$E16),"■","")</x:f>
      </x:c>
      <x:c r="X16" s="36" t="str">
        <x:f>IF(AND(X$3&lt;=$F16,X$3+6&gt;=$E16),"■","")</x:f>
      </x:c>
      <x:c r="Y16" s="36" t="str">
        <x:f>IF(AND(Y$3&lt;=$F16,Y$3+6&gt;=$E16),"■","")</x:f>
      </x:c>
      <x:c r="Z16" s="36" t="str">
        <x:f>IF(AND(Z$3&lt;=$F16,Z$3+6&gt;=$E16),"■","")</x:f>
      </x:c>
      <x:c r="AA16" s="36" t="str">
        <x:f>IF(AND(AA$3&lt;=$F16,AA$3+6&gt;=$E16),"■","")</x:f>
      </x:c>
      <x:c r="AB16" s="36" t="str">
        <x:f>IF(AND(AB$3&lt;=$F16,AB$3+6&gt;=$E16),"■","")</x:f>
      </x:c>
      <x:c r="AC16" s="36" t="str">
        <x:f>IF(AND(AC$3&lt;=$F16,AC$3+6&gt;=$E16),"■","")</x:f>
      </x:c>
      <x:c r="AD16" s="36" t="str">
        <x:f>IF(AND(AD$3&lt;=$F16,AD$3+6&gt;=$E16),"■","")</x:f>
      </x:c>
      <x:c r="AE16" s="36" t="str">
        <x:f>IF(AND(AE$3&lt;=$F16,AE$3+6&gt;=$E16),"■","")</x:f>
      </x:c>
      <x:c r="AF16" s="36" t="str">
        <x:f>IF(AND(AF$3&lt;=$F16,AF$3+6&gt;=$E16),"■","")</x:f>
      </x:c>
      <x:c r="AG16" s="36" t="str">
        <x:f>IF(AND(AG$3&lt;=$F16,AG$3+6&gt;=$E16),"■","")</x:f>
      </x:c>
      <x:c r="AH16" s="36" t="str">
        <x:f>IF(AND(AH$3&lt;=$F16,AH$3+6&gt;=$E16),"■","")</x:f>
      </x:c>
      <x:c r="AI16" s="36" t="str">
        <x:f>IF(AND(AI$3&lt;=$F16,AI$3+6&gt;=$E16),"■","")</x:f>
      </x:c>
      <x:c r="AJ16" s="36" t="str">
        <x:f>IF(AND(AJ$3&lt;=$F16,AJ$3+6&gt;=$E16),"■","")</x:f>
      </x:c>
      <x:c r="AK16" s="36" t="str">
        <x:f>IF(AND(AK$3&lt;=$F16,AK$3+6&gt;=$E16),"■","")</x:f>
      </x:c>
      <x:c r="AL16" s="36" t="str">
        <x:f>IF(AND(AL$3&lt;=$F16,AL$3+6&gt;=$E16),"■","")</x:f>
      </x:c>
      <x:c r="AM16" s="36" t="str">
        <x:f>IF(AND(AM$3&lt;=$F16,AM$3+6&gt;=$E16),"■","")</x:f>
      </x:c>
      <x:c r="AN16" s="36" t="str">
        <x:f>IF(AND(AN$3&lt;=$F16,AN$3+6&gt;=$E16),"■","")</x:f>
      </x:c>
      <x:c r="AO16" s="36" t="str">
        <x:f>IF(AND(AO$3&lt;=$F16,AO$3+6&gt;=$E16),"■","")</x:f>
      </x:c>
      <x:c r="AP16" s="36" t="str">
        <x:f>IF(AND(AP$3&lt;=$F16,AP$3+6&gt;=$E16),"■","")</x:f>
      </x:c>
      <x:c r="AQ16" s="36" t="str">
        <x:f>IF(AND(AQ$3&lt;=$F16,AQ$3+6&gt;=$E16),"■","")</x:f>
      </x:c>
      <x:c r="AR16" s="36" t="str">
        <x:f>IF(AND(AR$3&lt;=$F16,AR$3+6&gt;=$E16),"■","")</x:f>
      </x:c>
      <x:c r="AS16" s="36" t="str">
        <x:f>IF(AND(AS$3&lt;=$F16,AS$3+6&gt;=$E16),"■","")</x:f>
      </x:c>
    </x:row>
    <x:row r="17">
      <x:c r="A17" s="27" t="str">
        <x:v>AT-026</x:v>
      </x:c>
      <x:c r="B17" s="27" t="str">
        <x:v>2.2.6</x:v>
      </x:c>
      <x:c r="C17" s="27" t="str">
        <x:v>Solution design approved</x:v>
      </x:c>
      <x:c r="D17" s="27" t="str">
        <x:v>Technology Lead</x:v>
      </x:c>
      <x:c r="E17" s="35" t="n">
        <x:v>46087</x:v>
      </x:c>
      <x:c r="F17" s="35" t="n">
        <x:v>46087</x:v>
      </x:c>
      <x:c r="G17" s="36" t="str">
        <x:f>IF(AND(G$3&lt;=$F17,G$3+6&gt;=$E17),"■","")</x:f>
      </x:c>
      <x:c r="H17" s="36" t="str">
        <x:f>IF(AND(H$3&lt;=$F17,H$3+6&gt;=$E17),"■","")</x:f>
      </x:c>
      <x:c r="I17" s="36" t="str">
        <x:f>IF(AND(I$3&lt;=$F17,I$3+6&gt;=$E17),"■","")</x:f>
      </x:c>
      <x:c r="J17" s="36" t="str">
        <x:f>IF(AND(J$3&lt;=$F17,J$3+6&gt;=$E17),"■","")</x:f>
      </x:c>
      <x:c r="K17" s="36" t="str">
        <x:f>IF(AND(K$3&lt;=$F17,K$3+6&gt;=$E17),"■","")</x:f>
      </x:c>
      <x:c r="L17" s="36" t="str">
        <x:f>IF(AND(L$3&lt;=$F17,L$3+6&gt;=$E17),"■","")</x:f>
      </x:c>
      <x:c r="M17" s="36" t="str">
        <x:f>IF(AND(M$3&lt;=$F17,M$3+6&gt;=$E17),"■","")</x:f>
      </x:c>
      <x:c r="N17" s="36" t="str">
        <x:f>IF(AND(N$3&lt;=$F17,N$3+6&gt;=$E17),"■","")</x:f>
      </x:c>
      <x:c r="O17" s="36" t="str">
        <x:f>IF(AND(O$3&lt;=$F17,O$3+6&gt;=$E17),"■","")</x:f>
        <x:v>■</x:v>
      </x:c>
      <x:c r="P17" s="36" t="str">
        <x:f>IF(AND(P$3&lt;=$F17,P$3+6&gt;=$E17),"■","")</x:f>
      </x:c>
      <x:c r="Q17" s="36" t="str">
        <x:f>IF(AND(Q$3&lt;=$F17,Q$3+6&gt;=$E17),"■","")</x:f>
      </x:c>
      <x:c r="R17" s="36" t="str">
        <x:f>IF(AND(R$3&lt;=$F17,R$3+6&gt;=$E17),"■","")</x:f>
      </x:c>
      <x:c r="S17" s="36" t="str">
        <x:f>IF(AND(S$3&lt;=$F17,S$3+6&gt;=$E17),"■","")</x:f>
      </x:c>
      <x:c r="T17" s="36" t="str">
        <x:f>IF(AND(T$3&lt;=$F17,T$3+6&gt;=$E17),"■","")</x:f>
      </x:c>
      <x:c r="U17" s="36" t="str">
        <x:f>IF(AND(U$3&lt;=$F17,U$3+6&gt;=$E17),"■","")</x:f>
      </x:c>
      <x:c r="V17" s="36" t="str">
        <x:f>IF(AND(V$3&lt;=$F17,V$3+6&gt;=$E17),"■","")</x:f>
      </x:c>
      <x:c r="W17" s="36" t="str">
        <x:f>IF(AND(W$3&lt;=$F17,W$3+6&gt;=$E17),"■","")</x:f>
      </x:c>
      <x:c r="X17" s="36" t="str">
        <x:f>IF(AND(X$3&lt;=$F17,X$3+6&gt;=$E17),"■","")</x:f>
      </x:c>
      <x:c r="Y17" s="36" t="str">
        <x:f>IF(AND(Y$3&lt;=$F17,Y$3+6&gt;=$E17),"■","")</x:f>
      </x:c>
      <x:c r="Z17" s="36" t="str">
        <x:f>IF(AND(Z$3&lt;=$F17,Z$3+6&gt;=$E17),"■","")</x:f>
      </x:c>
      <x:c r="AA17" s="36" t="str">
        <x:f>IF(AND(AA$3&lt;=$F17,AA$3+6&gt;=$E17),"■","")</x:f>
      </x:c>
      <x:c r="AB17" s="36" t="str">
        <x:f>IF(AND(AB$3&lt;=$F17,AB$3+6&gt;=$E17),"■","")</x:f>
      </x:c>
      <x:c r="AC17" s="36" t="str">
        <x:f>IF(AND(AC$3&lt;=$F17,AC$3+6&gt;=$E17),"■","")</x:f>
      </x:c>
      <x:c r="AD17" s="36" t="str">
        <x:f>IF(AND(AD$3&lt;=$F17,AD$3+6&gt;=$E17),"■","")</x:f>
      </x:c>
      <x:c r="AE17" s="36" t="str">
        <x:f>IF(AND(AE$3&lt;=$F17,AE$3+6&gt;=$E17),"■","")</x:f>
      </x:c>
      <x:c r="AF17" s="36" t="str">
        <x:f>IF(AND(AF$3&lt;=$F17,AF$3+6&gt;=$E17),"■","")</x:f>
      </x:c>
      <x:c r="AG17" s="36" t="str">
        <x:f>IF(AND(AG$3&lt;=$F17,AG$3+6&gt;=$E17),"■","")</x:f>
      </x:c>
      <x:c r="AH17" s="36" t="str">
        <x:f>IF(AND(AH$3&lt;=$F17,AH$3+6&gt;=$E17),"■","")</x:f>
      </x:c>
      <x:c r="AI17" s="36" t="str">
        <x:f>IF(AND(AI$3&lt;=$F17,AI$3+6&gt;=$E17),"■","")</x:f>
      </x:c>
      <x:c r="AJ17" s="36" t="str">
        <x:f>IF(AND(AJ$3&lt;=$F17,AJ$3+6&gt;=$E17),"■","")</x:f>
      </x:c>
      <x:c r="AK17" s="36" t="str">
        <x:f>IF(AND(AK$3&lt;=$F17,AK$3+6&gt;=$E17),"■","")</x:f>
      </x:c>
      <x:c r="AL17" s="36" t="str">
        <x:f>IF(AND(AL$3&lt;=$F17,AL$3+6&gt;=$E17),"■","")</x:f>
      </x:c>
      <x:c r="AM17" s="36" t="str">
        <x:f>IF(AND(AM$3&lt;=$F17,AM$3+6&gt;=$E17),"■","")</x:f>
      </x:c>
      <x:c r="AN17" s="36" t="str">
        <x:f>IF(AND(AN$3&lt;=$F17,AN$3+6&gt;=$E17),"■","")</x:f>
      </x:c>
      <x:c r="AO17" s="36" t="str">
        <x:f>IF(AND(AO$3&lt;=$F17,AO$3+6&gt;=$E17),"■","")</x:f>
      </x:c>
      <x:c r="AP17" s="36" t="str">
        <x:f>IF(AND(AP$3&lt;=$F17,AP$3+6&gt;=$E17),"■","")</x:f>
      </x:c>
      <x:c r="AQ17" s="36" t="str">
        <x:f>IF(AND(AQ$3&lt;=$F17,AQ$3+6&gt;=$E17),"■","")</x:f>
      </x:c>
      <x:c r="AR17" s="36" t="str">
        <x:f>IF(AND(AR$3&lt;=$F17,AR$3+6&gt;=$E17),"■","")</x:f>
      </x:c>
      <x:c r="AS17" s="36" t="str">
        <x:f>IF(AND(AS$3&lt;=$F17,AS$3+6&gt;=$E17),"■","")</x:f>
      </x:c>
    </x:row>
    <x:row r="18">
      <x:c r="A18" s="27" t="str">
        <x:v>AT-030</x:v>
      </x:c>
      <x:c r="B18" s="27" t="str">
        <x:v>3.1.1</x:v>
      </x:c>
      <x:c r="C18" s="27" t="str">
        <x:v>Application framework and base configuration</x:v>
      </x:c>
      <x:c r="D18" s="27" t="str">
        <x:v>Application Development Lead</x:v>
      </x:c>
      <x:c r="E18" s="35" t="n">
        <x:v>46090</x:v>
      </x:c>
      <x:c r="F18" s="35" t="n">
        <x:v>46108</x:v>
      </x:c>
      <x:c r="G18" s="36" t="str">
        <x:f>IF(AND(G$3&lt;=$F18,G$3+6&gt;=$E18),"■","")</x:f>
      </x:c>
      <x:c r="H18" s="36" t="str">
        <x:f>IF(AND(H$3&lt;=$F18,H$3+6&gt;=$E18),"■","")</x:f>
      </x:c>
      <x:c r="I18" s="36" t="str">
        <x:f>IF(AND(I$3&lt;=$F18,I$3+6&gt;=$E18),"■","")</x:f>
      </x:c>
      <x:c r="J18" s="36" t="str">
        <x:f>IF(AND(J$3&lt;=$F18,J$3+6&gt;=$E18),"■","")</x:f>
      </x:c>
      <x:c r="K18" s="36" t="str">
        <x:f>IF(AND(K$3&lt;=$F18,K$3+6&gt;=$E18),"■","")</x:f>
      </x:c>
      <x:c r="L18" s="36" t="str">
        <x:f>IF(AND(L$3&lt;=$F18,L$3+6&gt;=$E18),"■","")</x:f>
      </x:c>
      <x:c r="M18" s="36" t="str">
        <x:f>IF(AND(M$3&lt;=$F18,M$3+6&gt;=$E18),"■","")</x:f>
      </x:c>
      <x:c r="N18" s="36" t="str">
        <x:f>IF(AND(N$3&lt;=$F18,N$3+6&gt;=$E18),"■","")</x:f>
      </x:c>
      <x:c r="O18" s="36" t="str">
        <x:f>IF(AND(O$3&lt;=$F18,O$3+6&gt;=$E18),"■","")</x:f>
      </x:c>
      <x:c r="P18" s="36" t="str">
        <x:f>IF(AND(P$3&lt;=$F18,P$3+6&gt;=$E18),"■","")</x:f>
        <x:v>■</x:v>
      </x:c>
      <x:c r="Q18" s="36" t="str">
        <x:f>IF(AND(Q$3&lt;=$F18,Q$3+6&gt;=$E18),"■","")</x:f>
        <x:v>■</x:v>
      </x:c>
      <x:c r="R18" s="36" t="str">
        <x:f>IF(AND(R$3&lt;=$F18,R$3+6&gt;=$E18),"■","")</x:f>
        <x:v>■</x:v>
      </x:c>
      <x:c r="S18" s="36" t="str">
        <x:f>IF(AND(S$3&lt;=$F18,S$3+6&gt;=$E18),"■","")</x:f>
      </x:c>
      <x:c r="T18" s="36" t="str">
        <x:f>IF(AND(T$3&lt;=$F18,T$3+6&gt;=$E18),"■","")</x:f>
      </x:c>
      <x:c r="U18" s="36" t="str">
        <x:f>IF(AND(U$3&lt;=$F18,U$3+6&gt;=$E18),"■","")</x:f>
      </x:c>
      <x:c r="V18" s="36" t="str">
        <x:f>IF(AND(V$3&lt;=$F18,V$3+6&gt;=$E18),"■","")</x:f>
      </x:c>
      <x:c r="W18" s="36" t="str">
        <x:f>IF(AND(W$3&lt;=$F18,W$3+6&gt;=$E18),"■","")</x:f>
      </x:c>
      <x:c r="X18" s="36" t="str">
        <x:f>IF(AND(X$3&lt;=$F18,X$3+6&gt;=$E18),"■","")</x:f>
      </x:c>
      <x:c r="Y18" s="36" t="str">
        <x:f>IF(AND(Y$3&lt;=$F18,Y$3+6&gt;=$E18),"■","")</x:f>
      </x:c>
      <x:c r="Z18" s="36" t="str">
        <x:f>IF(AND(Z$3&lt;=$F18,Z$3+6&gt;=$E18),"■","")</x:f>
      </x:c>
      <x:c r="AA18" s="36" t="str">
        <x:f>IF(AND(AA$3&lt;=$F18,AA$3+6&gt;=$E18),"■","")</x:f>
      </x:c>
      <x:c r="AB18" s="36" t="str">
        <x:f>IF(AND(AB$3&lt;=$F18,AB$3+6&gt;=$E18),"■","")</x:f>
      </x:c>
      <x:c r="AC18" s="36" t="str">
        <x:f>IF(AND(AC$3&lt;=$F18,AC$3+6&gt;=$E18),"■","")</x:f>
      </x:c>
      <x:c r="AD18" s="36" t="str">
        <x:f>IF(AND(AD$3&lt;=$F18,AD$3+6&gt;=$E18),"■","")</x:f>
      </x:c>
      <x:c r="AE18" s="36" t="str">
        <x:f>IF(AND(AE$3&lt;=$F18,AE$3+6&gt;=$E18),"■","")</x:f>
      </x:c>
      <x:c r="AF18" s="36" t="str">
        <x:f>IF(AND(AF$3&lt;=$F18,AF$3+6&gt;=$E18),"■","")</x:f>
      </x:c>
      <x:c r="AG18" s="36" t="str">
        <x:f>IF(AND(AG$3&lt;=$F18,AG$3+6&gt;=$E18),"■","")</x:f>
      </x:c>
      <x:c r="AH18" s="36" t="str">
        <x:f>IF(AND(AH$3&lt;=$F18,AH$3+6&gt;=$E18),"■","")</x:f>
      </x:c>
      <x:c r="AI18" s="36" t="str">
        <x:f>IF(AND(AI$3&lt;=$F18,AI$3+6&gt;=$E18),"■","")</x:f>
      </x:c>
      <x:c r="AJ18" s="36" t="str">
        <x:f>IF(AND(AJ$3&lt;=$F18,AJ$3+6&gt;=$E18),"■","")</x:f>
      </x:c>
      <x:c r="AK18" s="36" t="str">
        <x:f>IF(AND(AK$3&lt;=$F18,AK$3+6&gt;=$E18),"■","")</x:f>
      </x:c>
      <x:c r="AL18" s="36" t="str">
        <x:f>IF(AND(AL$3&lt;=$F18,AL$3+6&gt;=$E18),"■","")</x:f>
      </x:c>
      <x:c r="AM18" s="36" t="str">
        <x:f>IF(AND(AM$3&lt;=$F18,AM$3+6&gt;=$E18),"■","")</x:f>
      </x:c>
      <x:c r="AN18" s="36" t="str">
        <x:f>IF(AND(AN$3&lt;=$F18,AN$3+6&gt;=$E18),"■","")</x:f>
      </x:c>
      <x:c r="AO18" s="36" t="str">
        <x:f>IF(AND(AO$3&lt;=$F18,AO$3+6&gt;=$E18),"■","")</x:f>
      </x:c>
      <x:c r="AP18" s="36" t="str">
        <x:f>IF(AND(AP$3&lt;=$F18,AP$3+6&gt;=$E18),"■","")</x:f>
      </x:c>
      <x:c r="AQ18" s="36" t="str">
        <x:f>IF(AND(AQ$3&lt;=$F18,AQ$3+6&gt;=$E18),"■","")</x:f>
      </x:c>
      <x:c r="AR18" s="36" t="str">
        <x:f>IF(AND(AR$3&lt;=$F18,AR$3+6&gt;=$E18),"■","")</x:f>
      </x:c>
      <x:c r="AS18" s="36" t="str">
        <x:f>IF(AND(AS$3&lt;=$F18,AS$3+6&gt;=$E18),"■","")</x:f>
      </x:c>
    </x:row>
    <x:row r="19">
      <x:c r="A19" s="27" t="str">
        <x:v>AT-031</x:v>
      </x:c>
      <x:c r="B19" s="27" t="str">
        <x:v>3.1.2</x:v>
      </x:c>
      <x:c r="C19" s="27" t="str">
        <x:v>Role-based access implementation</x:v>
      </x:c>
      <x:c r="D19" s="27" t="str">
        <x:v>Application Development Lead</x:v>
      </x:c>
      <x:c r="E19" s="35" t="n">
        <x:v>46104</x:v>
      </x:c>
      <x:c r="F19" s="35" t="n">
        <x:v>46122</x:v>
      </x:c>
      <x:c r="G19" s="36" t="str">
        <x:f>IF(AND(G$3&lt;=$F19,G$3+6&gt;=$E19),"■","")</x:f>
      </x:c>
      <x:c r="H19" s="36" t="str">
        <x:f>IF(AND(H$3&lt;=$F19,H$3+6&gt;=$E19),"■","")</x:f>
      </x:c>
      <x:c r="I19" s="36" t="str">
        <x:f>IF(AND(I$3&lt;=$F19,I$3+6&gt;=$E19),"■","")</x:f>
      </x:c>
      <x:c r="J19" s="36" t="str">
        <x:f>IF(AND(J$3&lt;=$F19,J$3+6&gt;=$E19),"■","")</x:f>
      </x:c>
      <x:c r="K19" s="36" t="str">
        <x:f>IF(AND(K$3&lt;=$F19,K$3+6&gt;=$E19),"■","")</x:f>
      </x:c>
      <x:c r="L19" s="36" t="str">
        <x:f>IF(AND(L$3&lt;=$F19,L$3+6&gt;=$E19),"■","")</x:f>
      </x:c>
      <x:c r="M19" s="36" t="str">
        <x:f>IF(AND(M$3&lt;=$F19,M$3+6&gt;=$E19),"■","")</x:f>
      </x:c>
      <x:c r="N19" s="36" t="str">
        <x:f>IF(AND(N$3&lt;=$F19,N$3+6&gt;=$E19),"■","")</x:f>
      </x:c>
      <x:c r="O19" s="36" t="str">
        <x:f>IF(AND(O$3&lt;=$F19,O$3+6&gt;=$E19),"■","")</x:f>
      </x:c>
      <x:c r="P19" s="36" t="str">
        <x:f>IF(AND(P$3&lt;=$F19,P$3+6&gt;=$E19),"■","")</x:f>
      </x:c>
      <x:c r="Q19" s="36" t="str">
        <x:f>IF(AND(Q$3&lt;=$F19,Q$3+6&gt;=$E19),"■","")</x:f>
      </x:c>
      <x:c r="R19" s="36" t="str">
        <x:f>IF(AND(R$3&lt;=$F19,R$3+6&gt;=$E19),"■","")</x:f>
        <x:v>■</x:v>
      </x:c>
      <x:c r="S19" s="36" t="str">
        <x:f>IF(AND(S$3&lt;=$F19,S$3+6&gt;=$E19),"■","")</x:f>
        <x:v>■</x:v>
      </x:c>
      <x:c r="T19" s="36" t="str">
        <x:f>IF(AND(T$3&lt;=$F19,T$3+6&gt;=$E19),"■","")</x:f>
        <x:v>■</x:v>
      </x:c>
      <x:c r="U19" s="36" t="str">
        <x:f>IF(AND(U$3&lt;=$F19,U$3+6&gt;=$E19),"■","")</x:f>
      </x:c>
      <x:c r="V19" s="36" t="str">
        <x:f>IF(AND(V$3&lt;=$F19,V$3+6&gt;=$E19),"■","")</x:f>
      </x:c>
      <x:c r="W19" s="36" t="str">
        <x:f>IF(AND(W$3&lt;=$F19,W$3+6&gt;=$E19),"■","")</x:f>
      </x:c>
      <x:c r="X19" s="36" t="str">
        <x:f>IF(AND(X$3&lt;=$F19,X$3+6&gt;=$E19),"■","")</x:f>
      </x:c>
      <x:c r="Y19" s="36" t="str">
        <x:f>IF(AND(Y$3&lt;=$F19,Y$3+6&gt;=$E19),"■","")</x:f>
      </x:c>
      <x:c r="Z19" s="36" t="str">
        <x:f>IF(AND(Z$3&lt;=$F19,Z$3+6&gt;=$E19),"■","")</x:f>
      </x:c>
      <x:c r="AA19" s="36" t="str">
        <x:f>IF(AND(AA$3&lt;=$F19,AA$3+6&gt;=$E19),"■","")</x:f>
      </x:c>
      <x:c r="AB19" s="36" t="str">
        <x:f>IF(AND(AB$3&lt;=$F19,AB$3+6&gt;=$E19),"■","")</x:f>
      </x:c>
      <x:c r="AC19" s="36" t="str">
        <x:f>IF(AND(AC$3&lt;=$F19,AC$3+6&gt;=$E19),"■","")</x:f>
      </x:c>
      <x:c r="AD19" s="36" t="str">
        <x:f>IF(AND(AD$3&lt;=$F19,AD$3+6&gt;=$E19),"■","")</x:f>
      </x:c>
      <x:c r="AE19" s="36" t="str">
        <x:f>IF(AND(AE$3&lt;=$F19,AE$3+6&gt;=$E19),"■","")</x:f>
      </x:c>
      <x:c r="AF19" s="36" t="str">
        <x:f>IF(AND(AF$3&lt;=$F19,AF$3+6&gt;=$E19),"■","")</x:f>
      </x:c>
      <x:c r="AG19" s="36" t="str">
        <x:f>IF(AND(AG$3&lt;=$F19,AG$3+6&gt;=$E19),"■","")</x:f>
      </x:c>
      <x:c r="AH19" s="36" t="str">
        <x:f>IF(AND(AH$3&lt;=$F19,AH$3+6&gt;=$E19),"■","")</x:f>
      </x:c>
      <x:c r="AI19" s="36" t="str">
        <x:f>IF(AND(AI$3&lt;=$F19,AI$3+6&gt;=$E19),"■","")</x:f>
      </x:c>
      <x:c r="AJ19" s="36" t="str">
        <x:f>IF(AND(AJ$3&lt;=$F19,AJ$3+6&gt;=$E19),"■","")</x:f>
      </x:c>
      <x:c r="AK19" s="36" t="str">
        <x:f>IF(AND(AK$3&lt;=$F19,AK$3+6&gt;=$E19),"■","")</x:f>
      </x:c>
      <x:c r="AL19" s="36" t="str">
        <x:f>IF(AND(AL$3&lt;=$F19,AL$3+6&gt;=$E19),"■","")</x:f>
      </x:c>
      <x:c r="AM19" s="36" t="str">
        <x:f>IF(AND(AM$3&lt;=$F19,AM$3+6&gt;=$E19),"■","")</x:f>
      </x:c>
      <x:c r="AN19" s="36" t="str">
        <x:f>IF(AND(AN$3&lt;=$F19,AN$3+6&gt;=$E19),"■","")</x:f>
      </x:c>
      <x:c r="AO19" s="36" t="str">
        <x:f>IF(AND(AO$3&lt;=$F19,AO$3+6&gt;=$E19),"■","")</x:f>
      </x:c>
      <x:c r="AP19" s="36" t="str">
        <x:f>IF(AND(AP$3&lt;=$F19,AP$3+6&gt;=$E19),"■","")</x:f>
      </x:c>
      <x:c r="AQ19" s="36" t="str">
        <x:f>IF(AND(AQ$3&lt;=$F19,AQ$3+6&gt;=$E19),"■","")</x:f>
      </x:c>
      <x:c r="AR19" s="36" t="str">
        <x:f>IF(AND(AR$3&lt;=$F19,AR$3+6&gt;=$E19),"■","")</x:f>
      </x:c>
      <x:c r="AS19" s="36" t="str">
        <x:f>IF(AND(AS$3&lt;=$F19,AS$3+6&gt;=$E19),"■","")</x:f>
      </x:c>
    </x:row>
    <x:row r="20">
      <x:c r="A20" s="27" t="str">
        <x:v>AT-032</x:v>
      </x:c>
      <x:c r="B20" s="27" t="str">
        <x:v>3.2.1</x:v>
      </x:c>
      <x:c r="C20" s="27" t="str">
        <x:v>Core record management workflow development</x:v>
      </x:c>
      <x:c r="D20" s="27" t="str">
        <x:v>Application Development Lead</x:v>
      </x:c>
      <x:c r="E20" s="35" t="n">
        <x:v>46111</x:v>
      </x:c>
      <x:c r="F20" s="35" t="n">
        <x:v>46129</x:v>
      </x:c>
      <x:c r="G20" s="36" t="str">
        <x:f>IF(AND(G$3&lt;=$F20,G$3+6&gt;=$E20),"■","")</x:f>
      </x:c>
      <x:c r="H20" s="36" t="str">
        <x:f>IF(AND(H$3&lt;=$F20,H$3+6&gt;=$E20),"■","")</x:f>
      </x:c>
      <x:c r="I20" s="36" t="str">
        <x:f>IF(AND(I$3&lt;=$F20,I$3+6&gt;=$E20),"■","")</x:f>
      </x:c>
      <x:c r="J20" s="36" t="str">
        <x:f>IF(AND(J$3&lt;=$F20,J$3+6&gt;=$E20),"■","")</x:f>
      </x:c>
      <x:c r="K20" s="36" t="str">
        <x:f>IF(AND(K$3&lt;=$F20,K$3+6&gt;=$E20),"■","")</x:f>
      </x:c>
      <x:c r="L20" s="36" t="str">
        <x:f>IF(AND(L$3&lt;=$F20,L$3+6&gt;=$E20),"■","")</x:f>
      </x:c>
      <x:c r="M20" s="36" t="str">
        <x:f>IF(AND(M$3&lt;=$F20,M$3+6&gt;=$E20),"■","")</x:f>
      </x:c>
      <x:c r="N20" s="36" t="str">
        <x:f>IF(AND(N$3&lt;=$F20,N$3+6&gt;=$E20),"■","")</x:f>
      </x:c>
      <x:c r="O20" s="36" t="str">
        <x:f>IF(AND(O$3&lt;=$F20,O$3+6&gt;=$E20),"■","")</x:f>
      </x:c>
      <x:c r="P20" s="36" t="str">
        <x:f>IF(AND(P$3&lt;=$F20,P$3+6&gt;=$E20),"■","")</x:f>
      </x:c>
      <x:c r="Q20" s="36" t="str">
        <x:f>IF(AND(Q$3&lt;=$F20,Q$3+6&gt;=$E20),"■","")</x:f>
      </x:c>
      <x:c r="R20" s="36" t="str">
        <x:f>IF(AND(R$3&lt;=$F20,R$3+6&gt;=$E20),"■","")</x:f>
      </x:c>
      <x:c r="S20" s="36" t="str">
        <x:f>IF(AND(S$3&lt;=$F20,S$3+6&gt;=$E20),"■","")</x:f>
        <x:v>■</x:v>
      </x:c>
      <x:c r="T20" s="36" t="str">
        <x:f>IF(AND(T$3&lt;=$F20,T$3+6&gt;=$E20),"■","")</x:f>
        <x:v>■</x:v>
      </x:c>
      <x:c r="U20" s="36" t="str">
        <x:f>IF(AND(U$3&lt;=$F20,U$3+6&gt;=$E20),"■","")</x:f>
        <x:v>■</x:v>
      </x:c>
      <x:c r="V20" s="36" t="str">
        <x:f>IF(AND(V$3&lt;=$F20,V$3+6&gt;=$E20),"■","")</x:f>
      </x:c>
      <x:c r="W20" s="36" t="str">
        <x:f>IF(AND(W$3&lt;=$F20,W$3+6&gt;=$E20),"■","")</x:f>
      </x:c>
      <x:c r="X20" s="36" t="str">
        <x:f>IF(AND(X$3&lt;=$F20,X$3+6&gt;=$E20),"■","")</x:f>
      </x:c>
      <x:c r="Y20" s="36" t="str">
        <x:f>IF(AND(Y$3&lt;=$F20,Y$3+6&gt;=$E20),"■","")</x:f>
      </x:c>
      <x:c r="Z20" s="36" t="str">
        <x:f>IF(AND(Z$3&lt;=$F20,Z$3+6&gt;=$E20),"■","")</x:f>
      </x:c>
      <x:c r="AA20" s="36" t="str">
        <x:f>IF(AND(AA$3&lt;=$F20,AA$3+6&gt;=$E20),"■","")</x:f>
      </x:c>
      <x:c r="AB20" s="36" t="str">
        <x:f>IF(AND(AB$3&lt;=$F20,AB$3+6&gt;=$E20),"■","")</x:f>
      </x:c>
      <x:c r="AC20" s="36" t="str">
        <x:f>IF(AND(AC$3&lt;=$F20,AC$3+6&gt;=$E20),"■","")</x:f>
      </x:c>
      <x:c r="AD20" s="36" t="str">
        <x:f>IF(AND(AD$3&lt;=$F20,AD$3+6&gt;=$E20),"■","")</x:f>
      </x:c>
      <x:c r="AE20" s="36" t="str">
        <x:f>IF(AND(AE$3&lt;=$F20,AE$3+6&gt;=$E20),"■","")</x:f>
      </x:c>
      <x:c r="AF20" s="36" t="str">
        <x:f>IF(AND(AF$3&lt;=$F20,AF$3+6&gt;=$E20),"■","")</x:f>
      </x:c>
      <x:c r="AG20" s="36" t="str">
        <x:f>IF(AND(AG$3&lt;=$F20,AG$3+6&gt;=$E20),"■","")</x:f>
      </x:c>
      <x:c r="AH20" s="36" t="str">
        <x:f>IF(AND(AH$3&lt;=$F20,AH$3+6&gt;=$E20),"■","")</x:f>
      </x:c>
      <x:c r="AI20" s="36" t="str">
        <x:f>IF(AND(AI$3&lt;=$F20,AI$3+6&gt;=$E20),"■","")</x:f>
      </x:c>
      <x:c r="AJ20" s="36" t="str">
        <x:f>IF(AND(AJ$3&lt;=$F20,AJ$3+6&gt;=$E20),"■","")</x:f>
      </x:c>
      <x:c r="AK20" s="36" t="str">
        <x:f>IF(AND(AK$3&lt;=$F20,AK$3+6&gt;=$E20),"■","")</x:f>
      </x:c>
      <x:c r="AL20" s="36" t="str">
        <x:f>IF(AND(AL$3&lt;=$F20,AL$3+6&gt;=$E20),"■","")</x:f>
      </x:c>
      <x:c r="AM20" s="36" t="str">
        <x:f>IF(AND(AM$3&lt;=$F20,AM$3+6&gt;=$E20),"■","")</x:f>
      </x:c>
      <x:c r="AN20" s="36" t="str">
        <x:f>IF(AND(AN$3&lt;=$F20,AN$3+6&gt;=$E20),"■","")</x:f>
      </x:c>
      <x:c r="AO20" s="36" t="str">
        <x:f>IF(AND(AO$3&lt;=$F20,AO$3+6&gt;=$E20),"■","")</x:f>
      </x:c>
      <x:c r="AP20" s="36" t="str">
        <x:f>IF(AND(AP$3&lt;=$F20,AP$3+6&gt;=$E20),"■","")</x:f>
      </x:c>
      <x:c r="AQ20" s="36" t="str">
        <x:f>IF(AND(AQ$3&lt;=$F20,AQ$3+6&gt;=$E20),"■","")</x:f>
      </x:c>
      <x:c r="AR20" s="36" t="str">
        <x:f>IF(AND(AR$3&lt;=$F20,AR$3+6&gt;=$E20),"■","")</x:f>
      </x:c>
      <x:c r="AS20" s="36" t="str">
        <x:f>IF(AND(AS$3&lt;=$F20,AS$3+6&gt;=$E20),"■","")</x:f>
      </x:c>
    </x:row>
    <x:row r="21">
      <x:c r="A21" s="27" t="str">
        <x:v>AT-033</x:v>
      </x:c>
      <x:c r="B21" s="27" t="str">
        <x:v>3.2.2</x:v>
      </x:c>
      <x:c r="C21" s="27" t="str">
        <x:v>Approval routing and business rules development</x:v>
      </x:c>
      <x:c r="D21" s="27" t="str">
        <x:v>Application Development Lead</x:v>
      </x:c>
      <x:c r="E21" s="35" t="n">
        <x:v>46118</x:v>
      </x:c>
      <x:c r="F21" s="35" t="n">
        <x:v>46136</x:v>
      </x:c>
      <x:c r="G21" s="36" t="str">
        <x:f>IF(AND(G$3&lt;=$F21,G$3+6&gt;=$E21),"■","")</x:f>
      </x:c>
      <x:c r="H21" s="36" t="str">
        <x:f>IF(AND(H$3&lt;=$F21,H$3+6&gt;=$E21),"■","")</x:f>
      </x:c>
      <x:c r="I21" s="36" t="str">
        <x:f>IF(AND(I$3&lt;=$F21,I$3+6&gt;=$E21),"■","")</x:f>
      </x:c>
      <x:c r="J21" s="36" t="str">
        <x:f>IF(AND(J$3&lt;=$F21,J$3+6&gt;=$E21),"■","")</x:f>
      </x:c>
      <x:c r="K21" s="36" t="str">
        <x:f>IF(AND(K$3&lt;=$F21,K$3+6&gt;=$E21),"■","")</x:f>
      </x:c>
      <x:c r="L21" s="36" t="str">
        <x:f>IF(AND(L$3&lt;=$F21,L$3+6&gt;=$E21),"■","")</x:f>
      </x:c>
      <x:c r="M21" s="36" t="str">
        <x:f>IF(AND(M$3&lt;=$F21,M$3+6&gt;=$E21),"■","")</x:f>
      </x:c>
      <x:c r="N21" s="36" t="str">
        <x:f>IF(AND(N$3&lt;=$F21,N$3+6&gt;=$E21),"■","")</x:f>
      </x:c>
      <x:c r="O21" s="36" t="str">
        <x:f>IF(AND(O$3&lt;=$F21,O$3+6&gt;=$E21),"■","")</x:f>
      </x:c>
      <x:c r="P21" s="36" t="str">
        <x:f>IF(AND(P$3&lt;=$F21,P$3+6&gt;=$E21),"■","")</x:f>
      </x:c>
      <x:c r="Q21" s="36" t="str">
        <x:f>IF(AND(Q$3&lt;=$F21,Q$3+6&gt;=$E21),"■","")</x:f>
      </x:c>
      <x:c r="R21" s="36" t="str">
        <x:f>IF(AND(R$3&lt;=$F21,R$3+6&gt;=$E21),"■","")</x:f>
      </x:c>
      <x:c r="S21" s="36" t="str">
        <x:f>IF(AND(S$3&lt;=$F21,S$3+6&gt;=$E21),"■","")</x:f>
      </x:c>
      <x:c r="T21" s="36" t="str">
        <x:f>IF(AND(T$3&lt;=$F21,T$3+6&gt;=$E21),"■","")</x:f>
        <x:v>■</x:v>
      </x:c>
      <x:c r="U21" s="36" t="str">
        <x:f>IF(AND(U$3&lt;=$F21,U$3+6&gt;=$E21),"■","")</x:f>
        <x:v>■</x:v>
      </x:c>
      <x:c r="V21" s="36" t="str">
        <x:f>IF(AND(V$3&lt;=$F21,V$3+6&gt;=$E21),"■","")</x:f>
        <x:v>■</x:v>
      </x:c>
      <x:c r="W21" s="36" t="str">
        <x:f>IF(AND(W$3&lt;=$F21,W$3+6&gt;=$E21),"■","")</x:f>
      </x:c>
      <x:c r="X21" s="36" t="str">
        <x:f>IF(AND(X$3&lt;=$F21,X$3+6&gt;=$E21),"■","")</x:f>
      </x:c>
      <x:c r="Y21" s="36" t="str">
        <x:f>IF(AND(Y$3&lt;=$F21,Y$3+6&gt;=$E21),"■","")</x:f>
      </x:c>
      <x:c r="Z21" s="36" t="str">
        <x:f>IF(AND(Z$3&lt;=$F21,Z$3+6&gt;=$E21),"■","")</x:f>
      </x:c>
      <x:c r="AA21" s="36" t="str">
        <x:f>IF(AND(AA$3&lt;=$F21,AA$3+6&gt;=$E21),"■","")</x:f>
      </x:c>
      <x:c r="AB21" s="36" t="str">
        <x:f>IF(AND(AB$3&lt;=$F21,AB$3+6&gt;=$E21),"■","")</x:f>
      </x:c>
      <x:c r="AC21" s="36" t="str">
        <x:f>IF(AND(AC$3&lt;=$F21,AC$3+6&gt;=$E21),"■","")</x:f>
      </x:c>
      <x:c r="AD21" s="36" t="str">
        <x:f>IF(AND(AD$3&lt;=$F21,AD$3+6&gt;=$E21),"■","")</x:f>
      </x:c>
      <x:c r="AE21" s="36" t="str">
        <x:f>IF(AND(AE$3&lt;=$F21,AE$3+6&gt;=$E21),"■","")</x:f>
      </x:c>
      <x:c r="AF21" s="36" t="str">
        <x:f>IF(AND(AF$3&lt;=$F21,AF$3+6&gt;=$E21),"■","")</x:f>
      </x:c>
      <x:c r="AG21" s="36" t="str">
        <x:f>IF(AND(AG$3&lt;=$F21,AG$3+6&gt;=$E21),"■","")</x:f>
      </x:c>
      <x:c r="AH21" s="36" t="str">
        <x:f>IF(AND(AH$3&lt;=$F21,AH$3+6&gt;=$E21),"■","")</x:f>
      </x:c>
      <x:c r="AI21" s="36" t="str">
        <x:f>IF(AND(AI$3&lt;=$F21,AI$3+6&gt;=$E21),"■","")</x:f>
      </x:c>
      <x:c r="AJ21" s="36" t="str">
        <x:f>IF(AND(AJ$3&lt;=$F21,AJ$3+6&gt;=$E21),"■","")</x:f>
      </x:c>
      <x:c r="AK21" s="36" t="str">
        <x:f>IF(AND(AK$3&lt;=$F21,AK$3+6&gt;=$E21),"■","")</x:f>
      </x:c>
      <x:c r="AL21" s="36" t="str">
        <x:f>IF(AND(AL$3&lt;=$F21,AL$3+6&gt;=$E21),"■","")</x:f>
      </x:c>
      <x:c r="AM21" s="36" t="str">
        <x:f>IF(AND(AM$3&lt;=$F21,AM$3+6&gt;=$E21),"■","")</x:f>
      </x:c>
      <x:c r="AN21" s="36" t="str">
        <x:f>IF(AND(AN$3&lt;=$F21,AN$3+6&gt;=$E21),"■","")</x:f>
      </x:c>
      <x:c r="AO21" s="36" t="str">
        <x:f>IF(AND(AO$3&lt;=$F21,AO$3+6&gt;=$E21),"■","")</x:f>
      </x:c>
      <x:c r="AP21" s="36" t="str">
        <x:f>IF(AND(AP$3&lt;=$F21,AP$3+6&gt;=$E21),"■","")</x:f>
      </x:c>
      <x:c r="AQ21" s="36" t="str">
        <x:f>IF(AND(AQ$3&lt;=$F21,AQ$3+6&gt;=$E21),"■","")</x:f>
      </x:c>
      <x:c r="AR21" s="36" t="str">
        <x:f>IF(AND(AR$3&lt;=$F21,AR$3+6&gt;=$E21),"■","")</x:f>
      </x:c>
      <x:c r="AS21" s="36" t="str">
        <x:f>IF(AND(AS$3&lt;=$F21,AS$3+6&gt;=$E21),"■","")</x:f>
      </x:c>
    </x:row>
    <x:row r="22">
      <x:c r="A22" s="27" t="str">
        <x:v>AT-034</x:v>
      </x:c>
      <x:c r="B22" s="27" t="str">
        <x:v>3.2.3</x:v>
      </x:c>
      <x:c r="C22" s="27" t="str">
        <x:v>Search, reporting and audit feature development</x:v>
      </x:c>
      <x:c r="D22" s="27" t="str">
        <x:v>Application Development Lead</x:v>
      </x:c>
      <x:c r="E22" s="35" t="n">
        <x:v>46118</x:v>
      </x:c>
      <x:c r="F22" s="35" t="n">
        <x:v>46136</x:v>
      </x:c>
      <x:c r="G22" s="36" t="str">
        <x:f>IF(AND(G$3&lt;=$F22,G$3+6&gt;=$E22),"■","")</x:f>
      </x:c>
      <x:c r="H22" s="36" t="str">
        <x:f>IF(AND(H$3&lt;=$F22,H$3+6&gt;=$E22),"■","")</x:f>
      </x:c>
      <x:c r="I22" s="36" t="str">
        <x:f>IF(AND(I$3&lt;=$F22,I$3+6&gt;=$E22),"■","")</x:f>
      </x:c>
      <x:c r="J22" s="36" t="str">
        <x:f>IF(AND(J$3&lt;=$F22,J$3+6&gt;=$E22),"■","")</x:f>
      </x:c>
      <x:c r="K22" s="36" t="str">
        <x:f>IF(AND(K$3&lt;=$F22,K$3+6&gt;=$E22),"■","")</x:f>
      </x:c>
      <x:c r="L22" s="36" t="str">
        <x:f>IF(AND(L$3&lt;=$F22,L$3+6&gt;=$E22),"■","")</x:f>
      </x:c>
      <x:c r="M22" s="36" t="str">
        <x:f>IF(AND(M$3&lt;=$F22,M$3+6&gt;=$E22),"■","")</x:f>
      </x:c>
      <x:c r="N22" s="36" t="str">
        <x:f>IF(AND(N$3&lt;=$F22,N$3+6&gt;=$E22),"■","")</x:f>
      </x:c>
      <x:c r="O22" s="36" t="str">
        <x:f>IF(AND(O$3&lt;=$F22,O$3+6&gt;=$E22),"■","")</x:f>
      </x:c>
      <x:c r="P22" s="36" t="str">
        <x:f>IF(AND(P$3&lt;=$F22,P$3+6&gt;=$E22),"■","")</x:f>
      </x:c>
      <x:c r="Q22" s="36" t="str">
        <x:f>IF(AND(Q$3&lt;=$F22,Q$3+6&gt;=$E22),"■","")</x:f>
      </x:c>
      <x:c r="R22" s="36" t="str">
        <x:f>IF(AND(R$3&lt;=$F22,R$3+6&gt;=$E22),"■","")</x:f>
      </x:c>
      <x:c r="S22" s="36" t="str">
        <x:f>IF(AND(S$3&lt;=$F22,S$3+6&gt;=$E22),"■","")</x:f>
      </x:c>
      <x:c r="T22" s="36" t="str">
        <x:f>IF(AND(T$3&lt;=$F22,T$3+6&gt;=$E22),"■","")</x:f>
        <x:v>■</x:v>
      </x:c>
      <x:c r="U22" s="36" t="str">
        <x:f>IF(AND(U$3&lt;=$F22,U$3+6&gt;=$E22),"■","")</x:f>
        <x:v>■</x:v>
      </x:c>
      <x:c r="V22" s="36" t="str">
        <x:f>IF(AND(V$3&lt;=$F22,V$3+6&gt;=$E22),"■","")</x:f>
        <x:v>■</x:v>
      </x:c>
      <x:c r="W22" s="36" t="str">
        <x:f>IF(AND(W$3&lt;=$F22,W$3+6&gt;=$E22),"■","")</x:f>
      </x:c>
      <x:c r="X22" s="36" t="str">
        <x:f>IF(AND(X$3&lt;=$F22,X$3+6&gt;=$E22),"■","")</x:f>
      </x:c>
      <x:c r="Y22" s="36" t="str">
        <x:f>IF(AND(Y$3&lt;=$F22,Y$3+6&gt;=$E22),"■","")</x:f>
      </x:c>
      <x:c r="Z22" s="36" t="str">
        <x:f>IF(AND(Z$3&lt;=$F22,Z$3+6&gt;=$E22),"■","")</x:f>
      </x:c>
      <x:c r="AA22" s="36" t="str">
        <x:f>IF(AND(AA$3&lt;=$F22,AA$3+6&gt;=$E22),"■","")</x:f>
      </x:c>
      <x:c r="AB22" s="36" t="str">
        <x:f>IF(AND(AB$3&lt;=$F22,AB$3+6&gt;=$E22),"■","")</x:f>
      </x:c>
      <x:c r="AC22" s="36" t="str">
        <x:f>IF(AND(AC$3&lt;=$F22,AC$3+6&gt;=$E22),"■","")</x:f>
      </x:c>
      <x:c r="AD22" s="36" t="str">
        <x:f>IF(AND(AD$3&lt;=$F22,AD$3+6&gt;=$E22),"■","")</x:f>
      </x:c>
      <x:c r="AE22" s="36" t="str">
        <x:f>IF(AND(AE$3&lt;=$F22,AE$3+6&gt;=$E22),"■","")</x:f>
      </x:c>
      <x:c r="AF22" s="36" t="str">
        <x:f>IF(AND(AF$3&lt;=$F22,AF$3+6&gt;=$E22),"■","")</x:f>
      </x:c>
      <x:c r="AG22" s="36" t="str">
        <x:f>IF(AND(AG$3&lt;=$F22,AG$3+6&gt;=$E22),"■","")</x:f>
      </x:c>
      <x:c r="AH22" s="36" t="str">
        <x:f>IF(AND(AH$3&lt;=$F22,AH$3+6&gt;=$E22),"■","")</x:f>
      </x:c>
      <x:c r="AI22" s="36" t="str">
        <x:f>IF(AND(AI$3&lt;=$F22,AI$3+6&gt;=$E22),"■","")</x:f>
      </x:c>
      <x:c r="AJ22" s="36" t="str">
        <x:f>IF(AND(AJ$3&lt;=$F22,AJ$3+6&gt;=$E22),"■","")</x:f>
      </x:c>
      <x:c r="AK22" s="36" t="str">
        <x:f>IF(AND(AK$3&lt;=$F22,AK$3+6&gt;=$E22),"■","")</x:f>
      </x:c>
      <x:c r="AL22" s="36" t="str">
        <x:f>IF(AND(AL$3&lt;=$F22,AL$3+6&gt;=$E22),"■","")</x:f>
      </x:c>
      <x:c r="AM22" s="36" t="str">
        <x:f>IF(AND(AM$3&lt;=$F22,AM$3+6&gt;=$E22),"■","")</x:f>
      </x:c>
      <x:c r="AN22" s="36" t="str">
        <x:f>IF(AND(AN$3&lt;=$F22,AN$3+6&gt;=$E22),"■","")</x:f>
      </x:c>
      <x:c r="AO22" s="36" t="str">
        <x:f>IF(AND(AO$3&lt;=$F22,AO$3+6&gt;=$E22),"■","")</x:f>
      </x:c>
      <x:c r="AP22" s="36" t="str">
        <x:f>IF(AND(AP$3&lt;=$F22,AP$3+6&gt;=$E22),"■","")</x:f>
      </x:c>
      <x:c r="AQ22" s="36" t="str">
        <x:f>IF(AND(AQ$3&lt;=$F22,AQ$3+6&gt;=$E22),"■","")</x:f>
      </x:c>
      <x:c r="AR22" s="36" t="str">
        <x:f>IF(AND(AR$3&lt;=$F22,AR$3+6&gt;=$E22),"■","")</x:f>
      </x:c>
      <x:c r="AS22" s="36" t="str">
        <x:f>IF(AND(AS$3&lt;=$F22,AS$3+6&gt;=$E22),"■","")</x:f>
      </x:c>
    </x:row>
    <x:row r="23">
      <x:c r="A23" s="27" t="str">
        <x:v>AT-035</x:v>
      </x:c>
      <x:c r="B23" s="27" t="str">
        <x:v>3.2.4</x:v>
      </x:c>
      <x:c r="C23" s="27" t="str">
        <x:v>Workflow notification feature development</x:v>
      </x:c>
      <x:c r="D23" s="27" t="str">
        <x:v>Application Development Lead</x:v>
      </x:c>
      <x:c r="E23" s="35" t="n">
        <x:v>46132</x:v>
      </x:c>
      <x:c r="F23" s="35" t="n">
        <x:v>46143</x:v>
      </x:c>
      <x:c r="G23" s="36" t="str">
        <x:f>IF(AND(G$3&lt;=$F23,G$3+6&gt;=$E23),"■","")</x:f>
      </x:c>
      <x:c r="H23" s="36" t="str">
        <x:f>IF(AND(H$3&lt;=$F23,H$3+6&gt;=$E23),"■","")</x:f>
      </x:c>
      <x:c r="I23" s="36" t="str">
        <x:f>IF(AND(I$3&lt;=$F23,I$3+6&gt;=$E23),"■","")</x:f>
      </x:c>
      <x:c r="J23" s="36" t="str">
        <x:f>IF(AND(J$3&lt;=$F23,J$3+6&gt;=$E23),"■","")</x:f>
      </x:c>
      <x:c r="K23" s="36" t="str">
        <x:f>IF(AND(K$3&lt;=$F23,K$3+6&gt;=$E23),"■","")</x:f>
      </x:c>
      <x:c r="L23" s="36" t="str">
        <x:f>IF(AND(L$3&lt;=$F23,L$3+6&gt;=$E23),"■","")</x:f>
      </x:c>
      <x:c r="M23" s="36" t="str">
        <x:f>IF(AND(M$3&lt;=$F23,M$3+6&gt;=$E23),"■","")</x:f>
      </x:c>
      <x:c r="N23" s="36" t="str">
        <x:f>IF(AND(N$3&lt;=$F23,N$3+6&gt;=$E23),"■","")</x:f>
      </x:c>
      <x:c r="O23" s="36" t="str">
        <x:f>IF(AND(O$3&lt;=$F23,O$3+6&gt;=$E23),"■","")</x:f>
      </x:c>
      <x:c r="P23" s="36" t="str">
        <x:f>IF(AND(P$3&lt;=$F23,P$3+6&gt;=$E23),"■","")</x:f>
      </x:c>
      <x:c r="Q23" s="36" t="str">
        <x:f>IF(AND(Q$3&lt;=$F23,Q$3+6&gt;=$E23),"■","")</x:f>
      </x:c>
      <x:c r="R23" s="36" t="str">
        <x:f>IF(AND(R$3&lt;=$F23,R$3+6&gt;=$E23),"■","")</x:f>
      </x:c>
      <x:c r="S23" s="36" t="str">
        <x:f>IF(AND(S$3&lt;=$F23,S$3+6&gt;=$E23),"■","")</x:f>
      </x:c>
      <x:c r="T23" s="36" t="str">
        <x:f>IF(AND(T$3&lt;=$F23,T$3+6&gt;=$E23),"■","")</x:f>
      </x:c>
      <x:c r="U23" s="36" t="str">
        <x:f>IF(AND(U$3&lt;=$F23,U$3+6&gt;=$E23),"■","")</x:f>
      </x:c>
      <x:c r="V23" s="36" t="str">
        <x:f>IF(AND(V$3&lt;=$F23,V$3+6&gt;=$E23),"■","")</x:f>
        <x:v>■</x:v>
      </x:c>
      <x:c r="W23" s="36" t="str">
        <x:f>IF(AND(W$3&lt;=$F23,W$3+6&gt;=$E23),"■","")</x:f>
        <x:v>■</x:v>
      </x:c>
      <x:c r="X23" s="36" t="str">
        <x:f>IF(AND(X$3&lt;=$F23,X$3+6&gt;=$E23),"■","")</x:f>
      </x:c>
      <x:c r="Y23" s="36" t="str">
        <x:f>IF(AND(Y$3&lt;=$F23,Y$3+6&gt;=$E23),"■","")</x:f>
      </x:c>
      <x:c r="Z23" s="36" t="str">
        <x:f>IF(AND(Z$3&lt;=$F23,Z$3+6&gt;=$E23),"■","")</x:f>
      </x:c>
      <x:c r="AA23" s="36" t="str">
        <x:f>IF(AND(AA$3&lt;=$F23,AA$3+6&gt;=$E23),"■","")</x:f>
      </x:c>
      <x:c r="AB23" s="36" t="str">
        <x:f>IF(AND(AB$3&lt;=$F23,AB$3+6&gt;=$E23),"■","")</x:f>
      </x:c>
      <x:c r="AC23" s="36" t="str">
        <x:f>IF(AND(AC$3&lt;=$F23,AC$3+6&gt;=$E23),"■","")</x:f>
      </x:c>
      <x:c r="AD23" s="36" t="str">
        <x:f>IF(AND(AD$3&lt;=$F23,AD$3+6&gt;=$E23),"■","")</x:f>
      </x:c>
      <x:c r="AE23" s="36" t="str">
        <x:f>IF(AND(AE$3&lt;=$F23,AE$3+6&gt;=$E23),"■","")</x:f>
      </x:c>
      <x:c r="AF23" s="36" t="str">
        <x:f>IF(AND(AF$3&lt;=$F23,AF$3+6&gt;=$E23),"■","")</x:f>
      </x:c>
      <x:c r="AG23" s="36" t="str">
        <x:f>IF(AND(AG$3&lt;=$F23,AG$3+6&gt;=$E23),"■","")</x:f>
      </x:c>
      <x:c r="AH23" s="36" t="str">
        <x:f>IF(AND(AH$3&lt;=$F23,AH$3+6&gt;=$E23),"■","")</x:f>
      </x:c>
      <x:c r="AI23" s="36" t="str">
        <x:f>IF(AND(AI$3&lt;=$F23,AI$3+6&gt;=$E23),"■","")</x:f>
      </x:c>
      <x:c r="AJ23" s="36" t="str">
        <x:f>IF(AND(AJ$3&lt;=$F23,AJ$3+6&gt;=$E23),"■","")</x:f>
      </x:c>
      <x:c r="AK23" s="36" t="str">
        <x:f>IF(AND(AK$3&lt;=$F23,AK$3+6&gt;=$E23),"■","")</x:f>
      </x:c>
      <x:c r="AL23" s="36" t="str">
        <x:f>IF(AND(AL$3&lt;=$F23,AL$3+6&gt;=$E23),"■","")</x:f>
      </x:c>
      <x:c r="AM23" s="36" t="str">
        <x:f>IF(AND(AM$3&lt;=$F23,AM$3+6&gt;=$E23),"■","")</x:f>
      </x:c>
      <x:c r="AN23" s="36" t="str">
        <x:f>IF(AND(AN$3&lt;=$F23,AN$3+6&gt;=$E23),"■","")</x:f>
      </x:c>
      <x:c r="AO23" s="36" t="str">
        <x:f>IF(AND(AO$3&lt;=$F23,AO$3+6&gt;=$E23),"■","")</x:f>
      </x:c>
      <x:c r="AP23" s="36" t="str">
        <x:f>IF(AND(AP$3&lt;=$F23,AP$3+6&gt;=$E23),"■","")</x:f>
      </x:c>
      <x:c r="AQ23" s="36" t="str">
        <x:f>IF(AND(AQ$3&lt;=$F23,AQ$3+6&gt;=$E23),"■","")</x:f>
      </x:c>
      <x:c r="AR23" s="36" t="str">
        <x:f>IF(AND(AR$3&lt;=$F23,AR$3+6&gt;=$E23),"■","")</x:f>
      </x:c>
      <x:c r="AS23" s="36" t="str">
        <x:f>IF(AND(AS$3&lt;=$F23,AS$3+6&gt;=$E23),"■","")</x:f>
      </x:c>
    </x:row>
    <x:row r="24">
      <x:c r="A24" s="27" t="str">
        <x:v>AT-036</x:v>
      </x:c>
      <x:c r="B24" s="27" t="str">
        <x:v>3.3.1</x:v>
      </x:c>
      <x:c r="C24" s="27" t="str">
        <x:v>Developer verification and code-quality remediation</x:v>
      </x:c>
      <x:c r="D24" s="27" t="str">
        <x:v>Application Development Lead</x:v>
      </x:c>
      <x:c r="E24" s="35" t="n">
        <x:v>46139</x:v>
      </x:c>
      <x:c r="F24" s="35" t="n">
        <x:v>46148</x:v>
      </x:c>
      <x:c r="G24" s="36" t="str">
        <x:f>IF(AND(G$3&lt;=$F24,G$3+6&gt;=$E24),"■","")</x:f>
      </x:c>
      <x:c r="H24" s="36" t="str">
        <x:f>IF(AND(H$3&lt;=$F24,H$3+6&gt;=$E24),"■","")</x:f>
      </x:c>
      <x:c r="I24" s="36" t="str">
        <x:f>IF(AND(I$3&lt;=$F24,I$3+6&gt;=$E24),"■","")</x:f>
      </x:c>
      <x:c r="J24" s="36" t="str">
        <x:f>IF(AND(J$3&lt;=$F24,J$3+6&gt;=$E24),"■","")</x:f>
      </x:c>
      <x:c r="K24" s="36" t="str">
        <x:f>IF(AND(K$3&lt;=$F24,K$3+6&gt;=$E24),"■","")</x:f>
      </x:c>
      <x:c r="L24" s="36" t="str">
        <x:f>IF(AND(L$3&lt;=$F24,L$3+6&gt;=$E24),"■","")</x:f>
      </x:c>
      <x:c r="M24" s="36" t="str">
        <x:f>IF(AND(M$3&lt;=$F24,M$3+6&gt;=$E24),"■","")</x:f>
      </x:c>
      <x:c r="N24" s="36" t="str">
        <x:f>IF(AND(N$3&lt;=$F24,N$3+6&gt;=$E24),"■","")</x:f>
      </x:c>
      <x:c r="O24" s="36" t="str">
        <x:f>IF(AND(O$3&lt;=$F24,O$3+6&gt;=$E24),"■","")</x:f>
      </x:c>
      <x:c r="P24" s="36" t="str">
        <x:f>IF(AND(P$3&lt;=$F24,P$3+6&gt;=$E24),"■","")</x:f>
      </x:c>
      <x:c r="Q24" s="36" t="str">
        <x:f>IF(AND(Q$3&lt;=$F24,Q$3+6&gt;=$E24),"■","")</x:f>
      </x:c>
      <x:c r="R24" s="36" t="str">
        <x:f>IF(AND(R$3&lt;=$F24,R$3+6&gt;=$E24),"■","")</x:f>
      </x:c>
      <x:c r="S24" s="36" t="str">
        <x:f>IF(AND(S$3&lt;=$F24,S$3+6&gt;=$E24),"■","")</x:f>
      </x:c>
      <x:c r="T24" s="36" t="str">
        <x:f>IF(AND(T$3&lt;=$F24,T$3+6&gt;=$E24),"■","")</x:f>
      </x:c>
      <x:c r="U24" s="36" t="str">
        <x:f>IF(AND(U$3&lt;=$F24,U$3+6&gt;=$E24),"■","")</x:f>
      </x:c>
      <x:c r="V24" s="36" t="str">
        <x:f>IF(AND(V$3&lt;=$F24,V$3+6&gt;=$E24),"■","")</x:f>
      </x:c>
      <x:c r="W24" s="36" t="str">
        <x:f>IF(AND(W$3&lt;=$F24,W$3+6&gt;=$E24),"■","")</x:f>
        <x:v>■</x:v>
      </x:c>
      <x:c r="X24" s="36" t="str">
        <x:f>IF(AND(X$3&lt;=$F24,X$3+6&gt;=$E24),"■","")</x:f>
        <x:v>■</x:v>
      </x:c>
      <x:c r="Y24" s="36" t="str">
        <x:f>IF(AND(Y$3&lt;=$F24,Y$3+6&gt;=$E24),"■","")</x:f>
      </x:c>
      <x:c r="Z24" s="36" t="str">
        <x:f>IF(AND(Z$3&lt;=$F24,Z$3+6&gt;=$E24),"■","")</x:f>
      </x:c>
      <x:c r="AA24" s="36" t="str">
        <x:f>IF(AND(AA$3&lt;=$F24,AA$3+6&gt;=$E24),"■","")</x:f>
      </x:c>
      <x:c r="AB24" s="36" t="str">
        <x:f>IF(AND(AB$3&lt;=$F24,AB$3+6&gt;=$E24),"■","")</x:f>
      </x:c>
      <x:c r="AC24" s="36" t="str">
        <x:f>IF(AND(AC$3&lt;=$F24,AC$3+6&gt;=$E24),"■","")</x:f>
      </x:c>
      <x:c r="AD24" s="36" t="str">
        <x:f>IF(AND(AD$3&lt;=$F24,AD$3+6&gt;=$E24),"■","")</x:f>
      </x:c>
      <x:c r="AE24" s="36" t="str">
        <x:f>IF(AND(AE$3&lt;=$F24,AE$3+6&gt;=$E24),"■","")</x:f>
      </x:c>
      <x:c r="AF24" s="36" t="str">
        <x:f>IF(AND(AF$3&lt;=$F24,AF$3+6&gt;=$E24),"■","")</x:f>
      </x:c>
      <x:c r="AG24" s="36" t="str">
        <x:f>IF(AND(AG$3&lt;=$F24,AG$3+6&gt;=$E24),"■","")</x:f>
      </x:c>
      <x:c r="AH24" s="36" t="str">
        <x:f>IF(AND(AH$3&lt;=$F24,AH$3+6&gt;=$E24),"■","")</x:f>
      </x:c>
      <x:c r="AI24" s="36" t="str">
        <x:f>IF(AND(AI$3&lt;=$F24,AI$3+6&gt;=$E24),"■","")</x:f>
      </x:c>
      <x:c r="AJ24" s="36" t="str">
        <x:f>IF(AND(AJ$3&lt;=$F24,AJ$3+6&gt;=$E24),"■","")</x:f>
      </x:c>
      <x:c r="AK24" s="36" t="str">
        <x:f>IF(AND(AK$3&lt;=$F24,AK$3+6&gt;=$E24),"■","")</x:f>
      </x:c>
      <x:c r="AL24" s="36" t="str">
        <x:f>IF(AND(AL$3&lt;=$F24,AL$3+6&gt;=$E24),"■","")</x:f>
      </x:c>
      <x:c r="AM24" s="36" t="str">
        <x:f>IF(AND(AM$3&lt;=$F24,AM$3+6&gt;=$E24),"■","")</x:f>
      </x:c>
      <x:c r="AN24" s="36" t="str">
        <x:f>IF(AND(AN$3&lt;=$F24,AN$3+6&gt;=$E24),"■","")</x:f>
      </x:c>
      <x:c r="AO24" s="36" t="str">
        <x:f>IF(AND(AO$3&lt;=$F24,AO$3+6&gt;=$E24),"■","")</x:f>
      </x:c>
      <x:c r="AP24" s="36" t="str">
        <x:f>IF(AND(AP$3&lt;=$F24,AP$3+6&gt;=$E24),"■","")</x:f>
      </x:c>
      <x:c r="AQ24" s="36" t="str">
        <x:f>IF(AND(AQ$3&lt;=$F24,AQ$3+6&gt;=$E24),"■","")</x:f>
      </x:c>
      <x:c r="AR24" s="36" t="str">
        <x:f>IF(AND(AR$3&lt;=$F24,AR$3+6&gt;=$E24),"■","")</x:f>
      </x:c>
      <x:c r="AS24" s="36" t="str">
        <x:f>IF(AND(AS$3&lt;=$F24,AS$3+6&gt;=$E24),"■","")</x:f>
      </x:c>
    </x:row>
    <x:row r="25">
      <x:c r="A25" s="27" t="str">
        <x:v>AT-037</x:v>
      </x:c>
      <x:c r="B25" s="27" t="str">
        <x:v>3.3.2</x:v>
      </x:c>
      <x:c r="C25" s="27" t="str">
        <x:v>Package application release candidate</x:v>
      </x:c>
      <x:c r="D25" s="27" t="str">
        <x:v>Application Development Lead</x:v>
      </x:c>
      <x:c r="E25" s="35" t="n">
        <x:v>46149</x:v>
      </x:c>
      <x:c r="F25" s="35" t="n">
        <x:v>46150</x:v>
      </x:c>
      <x:c r="G25" s="36" t="str">
        <x:f>IF(AND(G$3&lt;=$F25,G$3+6&gt;=$E25),"■","")</x:f>
      </x:c>
      <x:c r="H25" s="36" t="str">
        <x:f>IF(AND(H$3&lt;=$F25,H$3+6&gt;=$E25),"■","")</x:f>
      </x:c>
      <x:c r="I25" s="36" t="str">
        <x:f>IF(AND(I$3&lt;=$F25,I$3+6&gt;=$E25),"■","")</x:f>
      </x:c>
      <x:c r="J25" s="36" t="str">
        <x:f>IF(AND(J$3&lt;=$F25,J$3+6&gt;=$E25),"■","")</x:f>
      </x:c>
      <x:c r="K25" s="36" t="str">
        <x:f>IF(AND(K$3&lt;=$F25,K$3+6&gt;=$E25),"■","")</x:f>
      </x:c>
      <x:c r="L25" s="36" t="str">
        <x:f>IF(AND(L$3&lt;=$F25,L$3+6&gt;=$E25),"■","")</x:f>
      </x:c>
      <x:c r="M25" s="36" t="str">
        <x:f>IF(AND(M$3&lt;=$F25,M$3+6&gt;=$E25),"■","")</x:f>
      </x:c>
      <x:c r="N25" s="36" t="str">
        <x:f>IF(AND(N$3&lt;=$F25,N$3+6&gt;=$E25),"■","")</x:f>
      </x:c>
      <x:c r="O25" s="36" t="str">
        <x:f>IF(AND(O$3&lt;=$F25,O$3+6&gt;=$E25),"■","")</x:f>
      </x:c>
      <x:c r="P25" s="36" t="str">
        <x:f>IF(AND(P$3&lt;=$F25,P$3+6&gt;=$E25),"■","")</x:f>
      </x:c>
      <x:c r="Q25" s="36" t="str">
        <x:f>IF(AND(Q$3&lt;=$F25,Q$3+6&gt;=$E25),"■","")</x:f>
      </x:c>
      <x:c r="R25" s="36" t="str">
        <x:f>IF(AND(R$3&lt;=$F25,R$3+6&gt;=$E25),"■","")</x:f>
      </x:c>
      <x:c r="S25" s="36" t="str">
        <x:f>IF(AND(S$3&lt;=$F25,S$3+6&gt;=$E25),"■","")</x:f>
      </x:c>
      <x:c r="T25" s="36" t="str">
        <x:f>IF(AND(T$3&lt;=$F25,T$3+6&gt;=$E25),"■","")</x:f>
      </x:c>
      <x:c r="U25" s="36" t="str">
        <x:f>IF(AND(U$3&lt;=$F25,U$3+6&gt;=$E25),"■","")</x:f>
      </x:c>
      <x:c r="V25" s="36" t="str">
        <x:f>IF(AND(V$3&lt;=$F25,V$3+6&gt;=$E25),"■","")</x:f>
      </x:c>
      <x:c r="W25" s="36" t="str">
        <x:f>IF(AND(W$3&lt;=$F25,W$3+6&gt;=$E25),"■","")</x:f>
      </x:c>
      <x:c r="X25" s="36" t="str">
        <x:f>IF(AND(X$3&lt;=$F25,X$3+6&gt;=$E25),"■","")</x:f>
        <x:v>■</x:v>
      </x:c>
      <x:c r="Y25" s="36" t="str">
        <x:f>IF(AND(Y$3&lt;=$F25,Y$3+6&gt;=$E25),"■","")</x:f>
      </x:c>
      <x:c r="Z25" s="36" t="str">
        <x:f>IF(AND(Z$3&lt;=$F25,Z$3+6&gt;=$E25),"■","")</x:f>
      </x:c>
      <x:c r="AA25" s="36" t="str">
        <x:f>IF(AND(AA$3&lt;=$F25,AA$3+6&gt;=$E25),"■","")</x:f>
      </x:c>
      <x:c r="AB25" s="36" t="str">
        <x:f>IF(AND(AB$3&lt;=$F25,AB$3+6&gt;=$E25),"■","")</x:f>
      </x:c>
      <x:c r="AC25" s="36" t="str">
        <x:f>IF(AND(AC$3&lt;=$F25,AC$3+6&gt;=$E25),"■","")</x:f>
      </x:c>
      <x:c r="AD25" s="36" t="str">
        <x:f>IF(AND(AD$3&lt;=$F25,AD$3+6&gt;=$E25),"■","")</x:f>
      </x:c>
      <x:c r="AE25" s="36" t="str">
        <x:f>IF(AND(AE$3&lt;=$F25,AE$3+6&gt;=$E25),"■","")</x:f>
      </x:c>
      <x:c r="AF25" s="36" t="str">
        <x:f>IF(AND(AF$3&lt;=$F25,AF$3+6&gt;=$E25),"■","")</x:f>
      </x:c>
      <x:c r="AG25" s="36" t="str">
        <x:f>IF(AND(AG$3&lt;=$F25,AG$3+6&gt;=$E25),"■","")</x:f>
      </x:c>
      <x:c r="AH25" s="36" t="str">
        <x:f>IF(AND(AH$3&lt;=$F25,AH$3+6&gt;=$E25),"■","")</x:f>
      </x:c>
      <x:c r="AI25" s="36" t="str">
        <x:f>IF(AND(AI$3&lt;=$F25,AI$3+6&gt;=$E25),"■","")</x:f>
      </x:c>
      <x:c r="AJ25" s="36" t="str">
        <x:f>IF(AND(AJ$3&lt;=$F25,AJ$3+6&gt;=$E25),"■","")</x:f>
      </x:c>
      <x:c r="AK25" s="36" t="str">
        <x:f>IF(AND(AK$3&lt;=$F25,AK$3+6&gt;=$E25),"■","")</x:f>
      </x:c>
      <x:c r="AL25" s="36" t="str">
        <x:f>IF(AND(AL$3&lt;=$F25,AL$3+6&gt;=$E25),"■","")</x:f>
      </x:c>
      <x:c r="AM25" s="36" t="str">
        <x:f>IF(AND(AM$3&lt;=$F25,AM$3+6&gt;=$E25),"■","")</x:f>
      </x:c>
      <x:c r="AN25" s="36" t="str">
        <x:f>IF(AND(AN$3&lt;=$F25,AN$3+6&gt;=$E25),"■","")</x:f>
      </x:c>
      <x:c r="AO25" s="36" t="str">
        <x:f>IF(AND(AO$3&lt;=$F25,AO$3+6&gt;=$E25),"■","")</x:f>
      </x:c>
      <x:c r="AP25" s="36" t="str">
        <x:f>IF(AND(AP$3&lt;=$F25,AP$3+6&gt;=$E25),"■","")</x:f>
      </x:c>
      <x:c r="AQ25" s="36" t="str">
        <x:f>IF(AND(AQ$3&lt;=$F25,AQ$3+6&gt;=$E25),"■","")</x:f>
      </x:c>
      <x:c r="AR25" s="36" t="str">
        <x:f>IF(AND(AR$3&lt;=$F25,AR$3+6&gt;=$E25),"■","")</x:f>
      </x:c>
      <x:c r="AS25" s="36" t="str">
        <x:f>IF(AND(AS$3&lt;=$F25,AS$3+6&gt;=$E25),"■","")</x:f>
      </x:c>
    </x:row>
    <x:row r="26">
      <x:c r="A26" s="27" t="str">
        <x:v>AT-038</x:v>
      </x:c>
      <x:c r="B26" s="27" t="str">
        <x:v>3.3.2</x:v>
      </x:c>
      <x:c r="C26" s="27" t="str">
        <x:v>Application build complete</x:v>
      </x:c>
      <x:c r="D26" s="27" t="str">
        <x:v>Technology Lead</x:v>
      </x:c>
      <x:c r="E26" s="35" t="n">
        <x:v>46150</x:v>
      </x:c>
      <x:c r="F26" s="35" t="n">
        <x:v>46150</x:v>
      </x:c>
      <x:c r="G26" s="36" t="str">
        <x:f>IF(AND(G$3&lt;=$F26,G$3+6&gt;=$E26),"■","")</x:f>
      </x:c>
      <x:c r="H26" s="36" t="str">
        <x:f>IF(AND(H$3&lt;=$F26,H$3+6&gt;=$E26),"■","")</x:f>
      </x:c>
      <x:c r="I26" s="36" t="str">
        <x:f>IF(AND(I$3&lt;=$F26,I$3+6&gt;=$E26),"■","")</x:f>
      </x:c>
      <x:c r="J26" s="36" t="str">
        <x:f>IF(AND(J$3&lt;=$F26,J$3+6&gt;=$E26),"■","")</x:f>
      </x:c>
      <x:c r="K26" s="36" t="str">
        <x:f>IF(AND(K$3&lt;=$F26,K$3+6&gt;=$E26),"■","")</x:f>
      </x:c>
      <x:c r="L26" s="36" t="str">
        <x:f>IF(AND(L$3&lt;=$F26,L$3+6&gt;=$E26),"■","")</x:f>
      </x:c>
      <x:c r="M26" s="36" t="str">
        <x:f>IF(AND(M$3&lt;=$F26,M$3+6&gt;=$E26),"■","")</x:f>
      </x:c>
      <x:c r="N26" s="36" t="str">
        <x:f>IF(AND(N$3&lt;=$F26,N$3+6&gt;=$E26),"■","")</x:f>
      </x:c>
      <x:c r="O26" s="36" t="str">
        <x:f>IF(AND(O$3&lt;=$F26,O$3+6&gt;=$E26),"■","")</x:f>
      </x:c>
      <x:c r="P26" s="36" t="str">
        <x:f>IF(AND(P$3&lt;=$F26,P$3+6&gt;=$E26),"■","")</x:f>
      </x:c>
      <x:c r="Q26" s="36" t="str">
        <x:f>IF(AND(Q$3&lt;=$F26,Q$3+6&gt;=$E26),"■","")</x:f>
      </x:c>
      <x:c r="R26" s="36" t="str">
        <x:f>IF(AND(R$3&lt;=$F26,R$3+6&gt;=$E26),"■","")</x:f>
      </x:c>
      <x:c r="S26" s="36" t="str">
        <x:f>IF(AND(S$3&lt;=$F26,S$3+6&gt;=$E26),"■","")</x:f>
      </x:c>
      <x:c r="T26" s="36" t="str">
        <x:f>IF(AND(T$3&lt;=$F26,T$3+6&gt;=$E26),"■","")</x:f>
      </x:c>
      <x:c r="U26" s="36" t="str">
        <x:f>IF(AND(U$3&lt;=$F26,U$3+6&gt;=$E26),"■","")</x:f>
      </x:c>
      <x:c r="V26" s="36" t="str">
        <x:f>IF(AND(V$3&lt;=$F26,V$3+6&gt;=$E26),"■","")</x:f>
      </x:c>
      <x:c r="W26" s="36" t="str">
        <x:f>IF(AND(W$3&lt;=$F26,W$3+6&gt;=$E26),"■","")</x:f>
      </x:c>
      <x:c r="X26" s="36" t="str">
        <x:f>IF(AND(X$3&lt;=$F26,X$3+6&gt;=$E26),"■","")</x:f>
        <x:v>■</x:v>
      </x:c>
      <x:c r="Y26" s="36" t="str">
        <x:f>IF(AND(Y$3&lt;=$F26,Y$3+6&gt;=$E26),"■","")</x:f>
      </x:c>
      <x:c r="Z26" s="36" t="str">
        <x:f>IF(AND(Z$3&lt;=$F26,Z$3+6&gt;=$E26),"■","")</x:f>
      </x:c>
      <x:c r="AA26" s="36" t="str">
        <x:f>IF(AND(AA$3&lt;=$F26,AA$3+6&gt;=$E26),"■","")</x:f>
      </x:c>
      <x:c r="AB26" s="36" t="str">
        <x:f>IF(AND(AB$3&lt;=$F26,AB$3+6&gt;=$E26),"■","")</x:f>
      </x:c>
      <x:c r="AC26" s="36" t="str">
        <x:f>IF(AND(AC$3&lt;=$F26,AC$3+6&gt;=$E26),"■","")</x:f>
      </x:c>
      <x:c r="AD26" s="36" t="str">
        <x:f>IF(AND(AD$3&lt;=$F26,AD$3+6&gt;=$E26),"■","")</x:f>
      </x:c>
      <x:c r="AE26" s="36" t="str">
        <x:f>IF(AND(AE$3&lt;=$F26,AE$3+6&gt;=$E26),"■","")</x:f>
      </x:c>
      <x:c r="AF26" s="36" t="str">
        <x:f>IF(AND(AF$3&lt;=$F26,AF$3+6&gt;=$E26),"■","")</x:f>
      </x:c>
      <x:c r="AG26" s="36" t="str">
        <x:f>IF(AND(AG$3&lt;=$F26,AG$3+6&gt;=$E26),"■","")</x:f>
      </x:c>
      <x:c r="AH26" s="36" t="str">
        <x:f>IF(AND(AH$3&lt;=$F26,AH$3+6&gt;=$E26),"■","")</x:f>
      </x:c>
      <x:c r="AI26" s="36" t="str">
        <x:f>IF(AND(AI$3&lt;=$F26,AI$3+6&gt;=$E26),"■","")</x:f>
      </x:c>
      <x:c r="AJ26" s="36" t="str">
        <x:f>IF(AND(AJ$3&lt;=$F26,AJ$3+6&gt;=$E26),"■","")</x:f>
      </x:c>
      <x:c r="AK26" s="36" t="str">
        <x:f>IF(AND(AK$3&lt;=$F26,AK$3+6&gt;=$E26),"■","")</x:f>
      </x:c>
      <x:c r="AL26" s="36" t="str">
        <x:f>IF(AND(AL$3&lt;=$F26,AL$3+6&gt;=$E26),"■","")</x:f>
      </x:c>
      <x:c r="AM26" s="36" t="str">
        <x:f>IF(AND(AM$3&lt;=$F26,AM$3+6&gt;=$E26),"■","")</x:f>
      </x:c>
      <x:c r="AN26" s="36" t="str">
        <x:f>IF(AND(AN$3&lt;=$F26,AN$3+6&gt;=$E26),"■","")</x:f>
      </x:c>
      <x:c r="AO26" s="36" t="str">
        <x:f>IF(AND(AO$3&lt;=$F26,AO$3+6&gt;=$E26),"■","")</x:f>
      </x:c>
      <x:c r="AP26" s="36" t="str">
        <x:f>IF(AND(AP$3&lt;=$F26,AP$3+6&gt;=$E26),"■","")</x:f>
      </x:c>
      <x:c r="AQ26" s="36" t="str">
        <x:f>IF(AND(AQ$3&lt;=$F26,AQ$3+6&gt;=$E26),"■","")</x:f>
      </x:c>
      <x:c r="AR26" s="36" t="str">
        <x:f>IF(AND(AR$3&lt;=$F26,AR$3+6&gt;=$E26),"■","")</x:f>
      </x:c>
      <x:c r="AS26" s="36" t="str">
        <x:f>IF(AND(AS$3&lt;=$F26,AS$3+6&gt;=$E26),"■","")</x:f>
      </x:c>
    </x:row>
    <x:row r="27">
      <x:c r="A27" s="27" t="str">
        <x:v>AT-040</x:v>
      </x:c>
      <x:c r="B27" s="27" t="str">
        <x:v>4.1.1</x:v>
      </x:c>
      <x:c r="C27" s="27" t="str">
        <x:v>IAM integration build</x:v>
      </x:c>
      <x:c r="D27" s="27" t="str">
        <x:v>Integration &amp; Data Migration Lead</x:v>
      </x:c>
      <x:c r="E27" s="35" t="n">
        <x:v>46097</x:v>
      </x:c>
      <x:c r="F27" s="35" t="n">
        <x:v>46115</x:v>
      </x:c>
      <x:c r="G27" s="36" t="str">
        <x:f>IF(AND(G$3&lt;=$F27,G$3+6&gt;=$E27),"■","")</x:f>
      </x:c>
      <x:c r="H27" s="36" t="str">
        <x:f>IF(AND(H$3&lt;=$F27,H$3+6&gt;=$E27),"■","")</x:f>
      </x:c>
      <x:c r="I27" s="36" t="str">
        <x:f>IF(AND(I$3&lt;=$F27,I$3+6&gt;=$E27),"■","")</x:f>
      </x:c>
      <x:c r="J27" s="36" t="str">
        <x:f>IF(AND(J$3&lt;=$F27,J$3+6&gt;=$E27),"■","")</x:f>
      </x:c>
      <x:c r="K27" s="36" t="str">
        <x:f>IF(AND(K$3&lt;=$F27,K$3+6&gt;=$E27),"■","")</x:f>
      </x:c>
      <x:c r="L27" s="36" t="str">
        <x:f>IF(AND(L$3&lt;=$F27,L$3+6&gt;=$E27),"■","")</x:f>
      </x:c>
      <x:c r="M27" s="36" t="str">
        <x:f>IF(AND(M$3&lt;=$F27,M$3+6&gt;=$E27),"■","")</x:f>
      </x:c>
      <x:c r="N27" s="36" t="str">
        <x:f>IF(AND(N$3&lt;=$F27,N$3+6&gt;=$E27),"■","")</x:f>
      </x:c>
      <x:c r="O27" s="36" t="str">
        <x:f>IF(AND(O$3&lt;=$F27,O$3+6&gt;=$E27),"■","")</x:f>
      </x:c>
      <x:c r="P27" s="36" t="str">
        <x:f>IF(AND(P$3&lt;=$F27,P$3+6&gt;=$E27),"■","")</x:f>
      </x:c>
      <x:c r="Q27" s="36" t="str">
        <x:f>IF(AND(Q$3&lt;=$F27,Q$3+6&gt;=$E27),"■","")</x:f>
        <x:v>■</x:v>
      </x:c>
      <x:c r="R27" s="36" t="str">
        <x:f>IF(AND(R$3&lt;=$F27,R$3+6&gt;=$E27),"■","")</x:f>
        <x:v>■</x:v>
      </x:c>
      <x:c r="S27" s="36" t="str">
        <x:f>IF(AND(S$3&lt;=$F27,S$3+6&gt;=$E27),"■","")</x:f>
        <x:v>■</x:v>
      </x:c>
      <x:c r="T27" s="36" t="str">
        <x:f>IF(AND(T$3&lt;=$F27,T$3+6&gt;=$E27),"■","")</x:f>
      </x:c>
      <x:c r="U27" s="36" t="str">
        <x:f>IF(AND(U$3&lt;=$F27,U$3+6&gt;=$E27),"■","")</x:f>
      </x:c>
      <x:c r="V27" s="36" t="str">
        <x:f>IF(AND(V$3&lt;=$F27,V$3+6&gt;=$E27),"■","")</x:f>
      </x:c>
      <x:c r="W27" s="36" t="str">
        <x:f>IF(AND(W$3&lt;=$F27,W$3+6&gt;=$E27),"■","")</x:f>
      </x:c>
      <x:c r="X27" s="36" t="str">
        <x:f>IF(AND(X$3&lt;=$F27,X$3+6&gt;=$E27),"■","")</x:f>
      </x:c>
      <x:c r="Y27" s="36" t="str">
        <x:f>IF(AND(Y$3&lt;=$F27,Y$3+6&gt;=$E27),"■","")</x:f>
      </x:c>
      <x:c r="Z27" s="36" t="str">
        <x:f>IF(AND(Z$3&lt;=$F27,Z$3+6&gt;=$E27),"■","")</x:f>
      </x:c>
      <x:c r="AA27" s="36" t="str">
        <x:f>IF(AND(AA$3&lt;=$F27,AA$3+6&gt;=$E27),"■","")</x:f>
      </x:c>
      <x:c r="AB27" s="36" t="str">
        <x:f>IF(AND(AB$3&lt;=$F27,AB$3+6&gt;=$E27),"■","")</x:f>
      </x:c>
      <x:c r="AC27" s="36" t="str">
        <x:f>IF(AND(AC$3&lt;=$F27,AC$3+6&gt;=$E27),"■","")</x:f>
      </x:c>
      <x:c r="AD27" s="36" t="str">
        <x:f>IF(AND(AD$3&lt;=$F27,AD$3+6&gt;=$E27),"■","")</x:f>
      </x:c>
      <x:c r="AE27" s="36" t="str">
        <x:f>IF(AND(AE$3&lt;=$F27,AE$3+6&gt;=$E27),"■","")</x:f>
      </x:c>
      <x:c r="AF27" s="36" t="str">
        <x:f>IF(AND(AF$3&lt;=$F27,AF$3+6&gt;=$E27),"■","")</x:f>
      </x:c>
      <x:c r="AG27" s="36" t="str">
        <x:f>IF(AND(AG$3&lt;=$F27,AG$3+6&gt;=$E27),"■","")</x:f>
      </x:c>
      <x:c r="AH27" s="36" t="str">
        <x:f>IF(AND(AH$3&lt;=$F27,AH$3+6&gt;=$E27),"■","")</x:f>
      </x:c>
      <x:c r="AI27" s="36" t="str">
        <x:f>IF(AND(AI$3&lt;=$F27,AI$3+6&gt;=$E27),"■","")</x:f>
      </x:c>
      <x:c r="AJ27" s="36" t="str">
        <x:f>IF(AND(AJ$3&lt;=$F27,AJ$3+6&gt;=$E27),"■","")</x:f>
      </x:c>
      <x:c r="AK27" s="36" t="str">
        <x:f>IF(AND(AK$3&lt;=$F27,AK$3+6&gt;=$E27),"■","")</x:f>
      </x:c>
      <x:c r="AL27" s="36" t="str">
        <x:f>IF(AND(AL$3&lt;=$F27,AL$3+6&gt;=$E27),"■","")</x:f>
      </x:c>
      <x:c r="AM27" s="36" t="str">
        <x:f>IF(AND(AM$3&lt;=$F27,AM$3+6&gt;=$E27),"■","")</x:f>
      </x:c>
      <x:c r="AN27" s="36" t="str">
        <x:f>IF(AND(AN$3&lt;=$F27,AN$3+6&gt;=$E27),"■","")</x:f>
      </x:c>
      <x:c r="AO27" s="36" t="str">
        <x:f>IF(AND(AO$3&lt;=$F27,AO$3+6&gt;=$E27),"■","")</x:f>
      </x:c>
      <x:c r="AP27" s="36" t="str">
        <x:f>IF(AND(AP$3&lt;=$F27,AP$3+6&gt;=$E27),"■","")</x:f>
      </x:c>
      <x:c r="AQ27" s="36" t="str">
        <x:f>IF(AND(AQ$3&lt;=$F27,AQ$3+6&gt;=$E27),"■","")</x:f>
      </x:c>
      <x:c r="AR27" s="36" t="str">
        <x:f>IF(AND(AR$3&lt;=$F27,AR$3+6&gt;=$E27),"■","")</x:f>
      </x:c>
      <x:c r="AS27" s="36" t="str">
        <x:f>IF(AND(AS$3&lt;=$F27,AS$3+6&gt;=$E27),"■","")</x:f>
      </x:c>
    </x:row>
    <x:row r="28">
      <x:c r="A28" s="27" t="str">
        <x:v>AT-041</x:v>
      </x:c>
      <x:c r="B28" s="27" t="str">
        <x:v>4.1.2</x:v>
      </x:c>
      <x:c r="C28" s="27" t="str">
        <x:v>Master Data integration build</x:v>
      </x:c>
      <x:c r="D28" s="27" t="str">
        <x:v>Integration &amp; Data Migration Lead</x:v>
      </x:c>
      <x:c r="E28" s="35" t="n">
        <x:v>46097</x:v>
      </x:c>
      <x:c r="F28" s="35" t="n">
        <x:v>46122</x:v>
      </x:c>
      <x:c r="G28" s="36" t="str">
        <x:f>IF(AND(G$3&lt;=$F28,G$3+6&gt;=$E28),"■","")</x:f>
      </x:c>
      <x:c r="H28" s="36" t="str">
        <x:f>IF(AND(H$3&lt;=$F28,H$3+6&gt;=$E28),"■","")</x:f>
      </x:c>
      <x:c r="I28" s="36" t="str">
        <x:f>IF(AND(I$3&lt;=$F28,I$3+6&gt;=$E28),"■","")</x:f>
      </x:c>
      <x:c r="J28" s="36" t="str">
        <x:f>IF(AND(J$3&lt;=$F28,J$3+6&gt;=$E28),"■","")</x:f>
      </x:c>
      <x:c r="K28" s="36" t="str">
        <x:f>IF(AND(K$3&lt;=$F28,K$3+6&gt;=$E28),"■","")</x:f>
      </x:c>
      <x:c r="L28" s="36" t="str">
        <x:f>IF(AND(L$3&lt;=$F28,L$3+6&gt;=$E28),"■","")</x:f>
      </x:c>
      <x:c r="M28" s="36" t="str">
        <x:f>IF(AND(M$3&lt;=$F28,M$3+6&gt;=$E28),"■","")</x:f>
      </x:c>
      <x:c r="N28" s="36" t="str">
        <x:f>IF(AND(N$3&lt;=$F28,N$3+6&gt;=$E28),"■","")</x:f>
      </x:c>
      <x:c r="O28" s="36" t="str">
        <x:f>IF(AND(O$3&lt;=$F28,O$3+6&gt;=$E28),"■","")</x:f>
      </x:c>
      <x:c r="P28" s="36" t="str">
        <x:f>IF(AND(P$3&lt;=$F28,P$3+6&gt;=$E28),"■","")</x:f>
      </x:c>
      <x:c r="Q28" s="36" t="str">
        <x:f>IF(AND(Q$3&lt;=$F28,Q$3+6&gt;=$E28),"■","")</x:f>
        <x:v>■</x:v>
      </x:c>
      <x:c r="R28" s="36" t="str">
        <x:f>IF(AND(R$3&lt;=$F28,R$3+6&gt;=$E28),"■","")</x:f>
        <x:v>■</x:v>
      </x:c>
      <x:c r="S28" s="36" t="str">
        <x:f>IF(AND(S$3&lt;=$F28,S$3+6&gt;=$E28),"■","")</x:f>
        <x:v>■</x:v>
      </x:c>
      <x:c r="T28" s="36" t="str">
        <x:f>IF(AND(T$3&lt;=$F28,T$3+6&gt;=$E28),"■","")</x:f>
        <x:v>■</x:v>
      </x:c>
      <x:c r="U28" s="36" t="str">
        <x:f>IF(AND(U$3&lt;=$F28,U$3+6&gt;=$E28),"■","")</x:f>
      </x:c>
      <x:c r="V28" s="36" t="str">
        <x:f>IF(AND(V$3&lt;=$F28,V$3+6&gt;=$E28),"■","")</x:f>
      </x:c>
      <x:c r="W28" s="36" t="str">
        <x:f>IF(AND(W$3&lt;=$F28,W$3+6&gt;=$E28),"■","")</x:f>
      </x:c>
      <x:c r="X28" s="36" t="str">
        <x:f>IF(AND(X$3&lt;=$F28,X$3+6&gt;=$E28),"■","")</x:f>
      </x:c>
      <x:c r="Y28" s="36" t="str">
        <x:f>IF(AND(Y$3&lt;=$F28,Y$3+6&gt;=$E28),"■","")</x:f>
      </x:c>
      <x:c r="Z28" s="36" t="str">
        <x:f>IF(AND(Z$3&lt;=$F28,Z$3+6&gt;=$E28),"■","")</x:f>
      </x:c>
      <x:c r="AA28" s="36" t="str">
        <x:f>IF(AND(AA$3&lt;=$F28,AA$3+6&gt;=$E28),"■","")</x:f>
      </x:c>
      <x:c r="AB28" s="36" t="str">
        <x:f>IF(AND(AB$3&lt;=$F28,AB$3+6&gt;=$E28),"■","")</x:f>
      </x:c>
      <x:c r="AC28" s="36" t="str">
        <x:f>IF(AND(AC$3&lt;=$F28,AC$3+6&gt;=$E28),"■","")</x:f>
      </x:c>
      <x:c r="AD28" s="36" t="str">
        <x:f>IF(AND(AD$3&lt;=$F28,AD$3+6&gt;=$E28),"■","")</x:f>
      </x:c>
      <x:c r="AE28" s="36" t="str">
        <x:f>IF(AND(AE$3&lt;=$F28,AE$3+6&gt;=$E28),"■","")</x:f>
      </x:c>
      <x:c r="AF28" s="36" t="str">
        <x:f>IF(AND(AF$3&lt;=$F28,AF$3+6&gt;=$E28),"■","")</x:f>
      </x:c>
      <x:c r="AG28" s="36" t="str">
        <x:f>IF(AND(AG$3&lt;=$F28,AG$3+6&gt;=$E28),"■","")</x:f>
      </x:c>
      <x:c r="AH28" s="36" t="str">
        <x:f>IF(AND(AH$3&lt;=$F28,AH$3+6&gt;=$E28),"■","")</x:f>
      </x:c>
      <x:c r="AI28" s="36" t="str">
        <x:f>IF(AND(AI$3&lt;=$F28,AI$3+6&gt;=$E28),"■","")</x:f>
      </x:c>
      <x:c r="AJ28" s="36" t="str">
        <x:f>IF(AND(AJ$3&lt;=$F28,AJ$3+6&gt;=$E28),"■","")</x:f>
      </x:c>
      <x:c r="AK28" s="36" t="str">
        <x:f>IF(AND(AK$3&lt;=$F28,AK$3+6&gt;=$E28),"■","")</x:f>
      </x:c>
      <x:c r="AL28" s="36" t="str">
        <x:f>IF(AND(AL$3&lt;=$F28,AL$3+6&gt;=$E28),"■","")</x:f>
      </x:c>
      <x:c r="AM28" s="36" t="str">
        <x:f>IF(AND(AM$3&lt;=$F28,AM$3+6&gt;=$E28),"■","")</x:f>
      </x:c>
      <x:c r="AN28" s="36" t="str">
        <x:f>IF(AND(AN$3&lt;=$F28,AN$3+6&gt;=$E28),"■","")</x:f>
      </x:c>
      <x:c r="AO28" s="36" t="str">
        <x:f>IF(AND(AO$3&lt;=$F28,AO$3+6&gt;=$E28),"■","")</x:f>
      </x:c>
      <x:c r="AP28" s="36" t="str">
        <x:f>IF(AND(AP$3&lt;=$F28,AP$3+6&gt;=$E28),"■","")</x:f>
      </x:c>
      <x:c r="AQ28" s="36" t="str">
        <x:f>IF(AND(AQ$3&lt;=$F28,AQ$3+6&gt;=$E28),"■","")</x:f>
      </x:c>
      <x:c r="AR28" s="36" t="str">
        <x:f>IF(AND(AR$3&lt;=$F28,AR$3+6&gt;=$E28),"■","")</x:f>
      </x:c>
      <x:c r="AS28" s="36" t="str">
        <x:f>IF(AND(AS$3&lt;=$F28,AS$3+6&gt;=$E28),"■","")</x:f>
      </x:c>
    </x:row>
    <x:row r="29">
      <x:c r="A29" s="27" t="str">
        <x:v>AT-042</x:v>
      </x:c>
      <x:c r="B29" s="27" t="str">
        <x:v>4.1.3</x:v>
      </x:c>
      <x:c r="C29" s="27" t="str">
        <x:v>Records Management integration build</x:v>
      </x:c>
      <x:c r="D29" s="27" t="str">
        <x:v>Integration &amp; Data Migration Lead</x:v>
      </x:c>
      <x:c r="E29" s="35" t="n">
        <x:v>46104</x:v>
      </x:c>
      <x:c r="F29" s="35" t="n">
        <x:v>46129</x:v>
      </x:c>
      <x:c r="G29" s="36" t="str">
        <x:f>IF(AND(G$3&lt;=$F29,G$3+6&gt;=$E29),"■","")</x:f>
      </x:c>
      <x:c r="H29" s="36" t="str">
        <x:f>IF(AND(H$3&lt;=$F29,H$3+6&gt;=$E29),"■","")</x:f>
      </x:c>
      <x:c r="I29" s="36" t="str">
        <x:f>IF(AND(I$3&lt;=$F29,I$3+6&gt;=$E29),"■","")</x:f>
      </x:c>
      <x:c r="J29" s="36" t="str">
        <x:f>IF(AND(J$3&lt;=$F29,J$3+6&gt;=$E29),"■","")</x:f>
      </x:c>
      <x:c r="K29" s="36" t="str">
        <x:f>IF(AND(K$3&lt;=$F29,K$3+6&gt;=$E29),"■","")</x:f>
      </x:c>
      <x:c r="L29" s="36" t="str">
        <x:f>IF(AND(L$3&lt;=$F29,L$3+6&gt;=$E29),"■","")</x:f>
      </x:c>
      <x:c r="M29" s="36" t="str">
        <x:f>IF(AND(M$3&lt;=$F29,M$3+6&gt;=$E29),"■","")</x:f>
      </x:c>
      <x:c r="N29" s="36" t="str">
        <x:f>IF(AND(N$3&lt;=$F29,N$3+6&gt;=$E29),"■","")</x:f>
      </x:c>
      <x:c r="O29" s="36" t="str">
        <x:f>IF(AND(O$3&lt;=$F29,O$3+6&gt;=$E29),"■","")</x:f>
      </x:c>
      <x:c r="P29" s="36" t="str">
        <x:f>IF(AND(P$3&lt;=$F29,P$3+6&gt;=$E29),"■","")</x:f>
      </x:c>
      <x:c r="Q29" s="36" t="str">
        <x:f>IF(AND(Q$3&lt;=$F29,Q$3+6&gt;=$E29),"■","")</x:f>
      </x:c>
      <x:c r="R29" s="36" t="str">
        <x:f>IF(AND(R$3&lt;=$F29,R$3+6&gt;=$E29),"■","")</x:f>
        <x:v>■</x:v>
      </x:c>
      <x:c r="S29" s="36" t="str">
        <x:f>IF(AND(S$3&lt;=$F29,S$3+6&gt;=$E29),"■","")</x:f>
        <x:v>■</x:v>
      </x:c>
      <x:c r="T29" s="36" t="str">
        <x:f>IF(AND(T$3&lt;=$F29,T$3+6&gt;=$E29),"■","")</x:f>
        <x:v>■</x:v>
      </x:c>
      <x:c r="U29" s="36" t="str">
        <x:f>IF(AND(U$3&lt;=$F29,U$3+6&gt;=$E29),"■","")</x:f>
        <x:v>■</x:v>
      </x:c>
      <x:c r="V29" s="36" t="str">
        <x:f>IF(AND(V$3&lt;=$F29,V$3+6&gt;=$E29),"■","")</x:f>
      </x:c>
      <x:c r="W29" s="36" t="str">
        <x:f>IF(AND(W$3&lt;=$F29,W$3+6&gt;=$E29),"■","")</x:f>
      </x:c>
      <x:c r="X29" s="36" t="str">
        <x:f>IF(AND(X$3&lt;=$F29,X$3+6&gt;=$E29),"■","")</x:f>
      </x:c>
      <x:c r="Y29" s="36" t="str">
        <x:f>IF(AND(Y$3&lt;=$F29,Y$3+6&gt;=$E29),"■","")</x:f>
      </x:c>
      <x:c r="Z29" s="36" t="str">
        <x:f>IF(AND(Z$3&lt;=$F29,Z$3+6&gt;=$E29),"■","")</x:f>
      </x:c>
      <x:c r="AA29" s="36" t="str">
        <x:f>IF(AND(AA$3&lt;=$F29,AA$3+6&gt;=$E29),"■","")</x:f>
      </x:c>
      <x:c r="AB29" s="36" t="str">
        <x:f>IF(AND(AB$3&lt;=$F29,AB$3+6&gt;=$E29),"■","")</x:f>
      </x:c>
      <x:c r="AC29" s="36" t="str">
        <x:f>IF(AND(AC$3&lt;=$F29,AC$3+6&gt;=$E29),"■","")</x:f>
      </x:c>
      <x:c r="AD29" s="36" t="str">
        <x:f>IF(AND(AD$3&lt;=$F29,AD$3+6&gt;=$E29),"■","")</x:f>
      </x:c>
      <x:c r="AE29" s="36" t="str">
        <x:f>IF(AND(AE$3&lt;=$F29,AE$3+6&gt;=$E29),"■","")</x:f>
      </x:c>
      <x:c r="AF29" s="36" t="str">
        <x:f>IF(AND(AF$3&lt;=$F29,AF$3+6&gt;=$E29),"■","")</x:f>
      </x:c>
      <x:c r="AG29" s="36" t="str">
        <x:f>IF(AND(AG$3&lt;=$F29,AG$3+6&gt;=$E29),"■","")</x:f>
      </x:c>
      <x:c r="AH29" s="36" t="str">
        <x:f>IF(AND(AH$3&lt;=$F29,AH$3+6&gt;=$E29),"■","")</x:f>
      </x:c>
      <x:c r="AI29" s="36" t="str">
        <x:f>IF(AND(AI$3&lt;=$F29,AI$3+6&gt;=$E29),"■","")</x:f>
      </x:c>
      <x:c r="AJ29" s="36" t="str">
        <x:f>IF(AND(AJ$3&lt;=$F29,AJ$3+6&gt;=$E29),"■","")</x:f>
      </x:c>
      <x:c r="AK29" s="36" t="str">
        <x:f>IF(AND(AK$3&lt;=$F29,AK$3+6&gt;=$E29),"■","")</x:f>
      </x:c>
      <x:c r="AL29" s="36" t="str">
        <x:f>IF(AND(AL$3&lt;=$F29,AL$3+6&gt;=$E29),"■","")</x:f>
      </x:c>
      <x:c r="AM29" s="36" t="str">
        <x:f>IF(AND(AM$3&lt;=$F29,AM$3+6&gt;=$E29),"■","")</x:f>
      </x:c>
      <x:c r="AN29" s="36" t="str">
        <x:f>IF(AND(AN$3&lt;=$F29,AN$3+6&gt;=$E29),"■","")</x:f>
      </x:c>
      <x:c r="AO29" s="36" t="str">
        <x:f>IF(AND(AO$3&lt;=$F29,AO$3+6&gt;=$E29),"■","")</x:f>
      </x:c>
      <x:c r="AP29" s="36" t="str">
        <x:f>IF(AND(AP$3&lt;=$F29,AP$3+6&gt;=$E29),"■","")</x:f>
      </x:c>
      <x:c r="AQ29" s="36" t="str">
        <x:f>IF(AND(AQ$3&lt;=$F29,AQ$3+6&gt;=$E29),"■","")</x:f>
      </x:c>
      <x:c r="AR29" s="36" t="str">
        <x:f>IF(AND(AR$3&lt;=$F29,AR$3+6&gt;=$E29),"■","")</x:f>
      </x:c>
      <x:c r="AS29" s="36" t="str">
        <x:f>IF(AND(AS$3&lt;=$F29,AS$3+6&gt;=$E29),"■","")</x:f>
      </x:c>
    </x:row>
    <x:row r="30">
      <x:c r="A30" s="27" t="str">
        <x:v>AT-043</x:v>
      </x:c>
      <x:c r="B30" s="27" t="str">
        <x:v>4.1.4</x:v>
      </x:c>
      <x:c r="C30" s="27" t="str">
        <x:v>Notification integration build</x:v>
      </x:c>
      <x:c r="D30" s="27" t="str">
        <x:v>Integration &amp; Data Migration Lead</x:v>
      </x:c>
      <x:c r="E30" s="35" t="n">
        <x:v>46118</x:v>
      </x:c>
      <x:c r="F30" s="35" t="n">
        <x:v>46143</x:v>
      </x:c>
      <x:c r="G30" s="36" t="str">
        <x:f>IF(AND(G$3&lt;=$F30,G$3+6&gt;=$E30),"■","")</x:f>
      </x:c>
      <x:c r="H30" s="36" t="str">
        <x:f>IF(AND(H$3&lt;=$F30,H$3+6&gt;=$E30),"■","")</x:f>
      </x:c>
      <x:c r="I30" s="36" t="str">
        <x:f>IF(AND(I$3&lt;=$F30,I$3+6&gt;=$E30),"■","")</x:f>
      </x:c>
      <x:c r="J30" s="36" t="str">
        <x:f>IF(AND(J$3&lt;=$F30,J$3+6&gt;=$E30),"■","")</x:f>
      </x:c>
      <x:c r="K30" s="36" t="str">
        <x:f>IF(AND(K$3&lt;=$F30,K$3+6&gt;=$E30),"■","")</x:f>
      </x:c>
      <x:c r="L30" s="36" t="str">
        <x:f>IF(AND(L$3&lt;=$F30,L$3+6&gt;=$E30),"■","")</x:f>
      </x:c>
      <x:c r="M30" s="36" t="str">
        <x:f>IF(AND(M$3&lt;=$F30,M$3+6&gt;=$E30),"■","")</x:f>
      </x:c>
      <x:c r="N30" s="36" t="str">
        <x:f>IF(AND(N$3&lt;=$F30,N$3+6&gt;=$E30),"■","")</x:f>
      </x:c>
      <x:c r="O30" s="36" t="str">
        <x:f>IF(AND(O$3&lt;=$F30,O$3+6&gt;=$E30),"■","")</x:f>
      </x:c>
      <x:c r="P30" s="36" t="str">
        <x:f>IF(AND(P$3&lt;=$F30,P$3+6&gt;=$E30),"■","")</x:f>
      </x:c>
      <x:c r="Q30" s="36" t="str">
        <x:f>IF(AND(Q$3&lt;=$F30,Q$3+6&gt;=$E30),"■","")</x:f>
      </x:c>
      <x:c r="R30" s="36" t="str">
        <x:f>IF(AND(R$3&lt;=$F30,R$3+6&gt;=$E30),"■","")</x:f>
      </x:c>
      <x:c r="S30" s="36" t="str">
        <x:f>IF(AND(S$3&lt;=$F30,S$3+6&gt;=$E30),"■","")</x:f>
      </x:c>
      <x:c r="T30" s="36" t="str">
        <x:f>IF(AND(T$3&lt;=$F30,T$3+6&gt;=$E30),"■","")</x:f>
        <x:v>■</x:v>
      </x:c>
      <x:c r="U30" s="36" t="str">
        <x:f>IF(AND(U$3&lt;=$F30,U$3+6&gt;=$E30),"■","")</x:f>
        <x:v>■</x:v>
      </x:c>
      <x:c r="V30" s="36" t="str">
        <x:f>IF(AND(V$3&lt;=$F30,V$3+6&gt;=$E30),"■","")</x:f>
        <x:v>■</x:v>
      </x:c>
      <x:c r="W30" s="36" t="str">
        <x:f>IF(AND(W$3&lt;=$F30,W$3+6&gt;=$E30),"■","")</x:f>
        <x:v>■</x:v>
      </x:c>
      <x:c r="X30" s="36" t="str">
        <x:f>IF(AND(X$3&lt;=$F30,X$3+6&gt;=$E30),"■","")</x:f>
      </x:c>
      <x:c r="Y30" s="36" t="str">
        <x:f>IF(AND(Y$3&lt;=$F30,Y$3+6&gt;=$E30),"■","")</x:f>
      </x:c>
      <x:c r="Z30" s="36" t="str">
        <x:f>IF(AND(Z$3&lt;=$F30,Z$3+6&gt;=$E30),"■","")</x:f>
      </x:c>
      <x:c r="AA30" s="36" t="str">
        <x:f>IF(AND(AA$3&lt;=$F30,AA$3+6&gt;=$E30),"■","")</x:f>
      </x:c>
      <x:c r="AB30" s="36" t="str">
        <x:f>IF(AND(AB$3&lt;=$F30,AB$3+6&gt;=$E30),"■","")</x:f>
      </x:c>
      <x:c r="AC30" s="36" t="str">
        <x:f>IF(AND(AC$3&lt;=$F30,AC$3+6&gt;=$E30),"■","")</x:f>
      </x:c>
      <x:c r="AD30" s="36" t="str">
        <x:f>IF(AND(AD$3&lt;=$F30,AD$3+6&gt;=$E30),"■","")</x:f>
      </x:c>
      <x:c r="AE30" s="36" t="str">
        <x:f>IF(AND(AE$3&lt;=$F30,AE$3+6&gt;=$E30),"■","")</x:f>
      </x:c>
      <x:c r="AF30" s="36" t="str">
        <x:f>IF(AND(AF$3&lt;=$F30,AF$3+6&gt;=$E30),"■","")</x:f>
      </x:c>
      <x:c r="AG30" s="36" t="str">
        <x:f>IF(AND(AG$3&lt;=$F30,AG$3+6&gt;=$E30),"■","")</x:f>
      </x:c>
      <x:c r="AH30" s="36" t="str">
        <x:f>IF(AND(AH$3&lt;=$F30,AH$3+6&gt;=$E30),"■","")</x:f>
      </x:c>
      <x:c r="AI30" s="36" t="str">
        <x:f>IF(AND(AI$3&lt;=$F30,AI$3+6&gt;=$E30),"■","")</x:f>
      </x:c>
      <x:c r="AJ30" s="36" t="str">
        <x:f>IF(AND(AJ$3&lt;=$F30,AJ$3+6&gt;=$E30),"■","")</x:f>
      </x:c>
      <x:c r="AK30" s="36" t="str">
        <x:f>IF(AND(AK$3&lt;=$F30,AK$3+6&gt;=$E30),"■","")</x:f>
      </x:c>
      <x:c r="AL30" s="36" t="str">
        <x:f>IF(AND(AL$3&lt;=$F30,AL$3+6&gt;=$E30),"■","")</x:f>
      </x:c>
      <x:c r="AM30" s="36" t="str">
        <x:f>IF(AND(AM$3&lt;=$F30,AM$3+6&gt;=$E30),"■","")</x:f>
      </x:c>
      <x:c r="AN30" s="36" t="str">
        <x:f>IF(AND(AN$3&lt;=$F30,AN$3+6&gt;=$E30),"■","")</x:f>
      </x:c>
      <x:c r="AO30" s="36" t="str">
        <x:f>IF(AND(AO$3&lt;=$F30,AO$3+6&gt;=$E30),"■","")</x:f>
      </x:c>
      <x:c r="AP30" s="36" t="str">
        <x:f>IF(AND(AP$3&lt;=$F30,AP$3+6&gt;=$E30),"■","")</x:f>
      </x:c>
      <x:c r="AQ30" s="36" t="str">
        <x:f>IF(AND(AQ$3&lt;=$F30,AQ$3+6&gt;=$E30),"■","")</x:f>
      </x:c>
      <x:c r="AR30" s="36" t="str">
        <x:f>IF(AND(AR$3&lt;=$F30,AR$3+6&gt;=$E30),"■","")</x:f>
      </x:c>
      <x:c r="AS30" s="36" t="str">
        <x:f>IF(AND(AS$3&lt;=$F30,AS$3+6&gt;=$E30),"■","")</x:f>
      </x:c>
    </x:row>
    <x:row r="31">
      <x:c r="A31" s="27" t="str">
        <x:v>AT-044</x:v>
      </x:c>
      <x:c r="B31" s="27" t="str">
        <x:v>4.1</x:v>
      </x:c>
      <x:c r="C31" s="27" t="str">
        <x:v>Integration component verification</x:v>
      </x:c>
      <x:c r="D31" s="27" t="str">
        <x:v>Integration &amp; Data Migration Lead</x:v>
      </x:c>
      <x:c r="E31" s="35" t="n">
        <x:v>46146</x:v>
      </x:c>
      <x:c r="F31" s="35" t="n">
        <x:v>46150</x:v>
      </x:c>
      <x:c r="G31" s="36" t="str">
        <x:f>IF(AND(G$3&lt;=$F31,G$3+6&gt;=$E31),"■","")</x:f>
      </x:c>
      <x:c r="H31" s="36" t="str">
        <x:f>IF(AND(H$3&lt;=$F31,H$3+6&gt;=$E31),"■","")</x:f>
      </x:c>
      <x:c r="I31" s="36" t="str">
        <x:f>IF(AND(I$3&lt;=$F31,I$3+6&gt;=$E31),"■","")</x:f>
      </x:c>
      <x:c r="J31" s="36" t="str">
        <x:f>IF(AND(J$3&lt;=$F31,J$3+6&gt;=$E31),"■","")</x:f>
      </x:c>
      <x:c r="K31" s="36" t="str">
        <x:f>IF(AND(K$3&lt;=$F31,K$3+6&gt;=$E31),"■","")</x:f>
      </x:c>
      <x:c r="L31" s="36" t="str">
        <x:f>IF(AND(L$3&lt;=$F31,L$3+6&gt;=$E31),"■","")</x:f>
      </x:c>
      <x:c r="M31" s="36" t="str">
        <x:f>IF(AND(M$3&lt;=$F31,M$3+6&gt;=$E31),"■","")</x:f>
      </x:c>
      <x:c r="N31" s="36" t="str">
        <x:f>IF(AND(N$3&lt;=$F31,N$3+6&gt;=$E31),"■","")</x:f>
      </x:c>
      <x:c r="O31" s="36" t="str">
        <x:f>IF(AND(O$3&lt;=$F31,O$3+6&gt;=$E31),"■","")</x:f>
      </x:c>
      <x:c r="P31" s="36" t="str">
        <x:f>IF(AND(P$3&lt;=$F31,P$3+6&gt;=$E31),"■","")</x:f>
      </x:c>
      <x:c r="Q31" s="36" t="str">
        <x:f>IF(AND(Q$3&lt;=$F31,Q$3+6&gt;=$E31),"■","")</x:f>
      </x:c>
      <x:c r="R31" s="36" t="str">
        <x:f>IF(AND(R$3&lt;=$F31,R$3+6&gt;=$E31),"■","")</x:f>
      </x:c>
      <x:c r="S31" s="36" t="str">
        <x:f>IF(AND(S$3&lt;=$F31,S$3+6&gt;=$E31),"■","")</x:f>
      </x:c>
      <x:c r="T31" s="36" t="str">
        <x:f>IF(AND(T$3&lt;=$F31,T$3+6&gt;=$E31),"■","")</x:f>
      </x:c>
      <x:c r="U31" s="36" t="str">
        <x:f>IF(AND(U$3&lt;=$F31,U$3+6&gt;=$E31),"■","")</x:f>
      </x:c>
      <x:c r="V31" s="36" t="str">
        <x:f>IF(AND(V$3&lt;=$F31,V$3+6&gt;=$E31),"■","")</x:f>
      </x:c>
      <x:c r="W31" s="36" t="str">
        <x:f>IF(AND(W$3&lt;=$F31,W$3+6&gt;=$E31),"■","")</x:f>
      </x:c>
      <x:c r="X31" s="36" t="str">
        <x:f>IF(AND(X$3&lt;=$F31,X$3+6&gt;=$E31),"■","")</x:f>
        <x:v>■</x:v>
      </x:c>
      <x:c r="Y31" s="36" t="str">
        <x:f>IF(AND(Y$3&lt;=$F31,Y$3+6&gt;=$E31),"■","")</x:f>
      </x:c>
      <x:c r="Z31" s="36" t="str">
        <x:f>IF(AND(Z$3&lt;=$F31,Z$3+6&gt;=$E31),"■","")</x:f>
      </x:c>
      <x:c r="AA31" s="36" t="str">
        <x:f>IF(AND(AA$3&lt;=$F31,AA$3+6&gt;=$E31),"■","")</x:f>
      </x:c>
      <x:c r="AB31" s="36" t="str">
        <x:f>IF(AND(AB$3&lt;=$F31,AB$3+6&gt;=$E31),"■","")</x:f>
      </x:c>
      <x:c r="AC31" s="36" t="str">
        <x:f>IF(AND(AC$3&lt;=$F31,AC$3+6&gt;=$E31),"■","")</x:f>
      </x:c>
      <x:c r="AD31" s="36" t="str">
        <x:f>IF(AND(AD$3&lt;=$F31,AD$3+6&gt;=$E31),"■","")</x:f>
      </x:c>
      <x:c r="AE31" s="36" t="str">
        <x:f>IF(AND(AE$3&lt;=$F31,AE$3+6&gt;=$E31),"■","")</x:f>
      </x:c>
      <x:c r="AF31" s="36" t="str">
        <x:f>IF(AND(AF$3&lt;=$F31,AF$3+6&gt;=$E31),"■","")</x:f>
      </x:c>
      <x:c r="AG31" s="36" t="str">
        <x:f>IF(AND(AG$3&lt;=$F31,AG$3+6&gt;=$E31),"■","")</x:f>
      </x:c>
      <x:c r="AH31" s="36" t="str">
        <x:f>IF(AND(AH$3&lt;=$F31,AH$3+6&gt;=$E31),"■","")</x:f>
      </x:c>
      <x:c r="AI31" s="36" t="str">
        <x:f>IF(AND(AI$3&lt;=$F31,AI$3+6&gt;=$E31),"■","")</x:f>
      </x:c>
      <x:c r="AJ31" s="36" t="str">
        <x:f>IF(AND(AJ$3&lt;=$F31,AJ$3+6&gt;=$E31),"■","")</x:f>
      </x:c>
      <x:c r="AK31" s="36" t="str">
        <x:f>IF(AND(AK$3&lt;=$F31,AK$3+6&gt;=$E31),"■","")</x:f>
      </x:c>
      <x:c r="AL31" s="36" t="str">
        <x:f>IF(AND(AL$3&lt;=$F31,AL$3+6&gt;=$E31),"■","")</x:f>
      </x:c>
      <x:c r="AM31" s="36" t="str">
        <x:f>IF(AND(AM$3&lt;=$F31,AM$3+6&gt;=$E31),"■","")</x:f>
      </x:c>
      <x:c r="AN31" s="36" t="str">
        <x:f>IF(AND(AN$3&lt;=$F31,AN$3+6&gt;=$E31),"■","")</x:f>
      </x:c>
      <x:c r="AO31" s="36" t="str">
        <x:f>IF(AND(AO$3&lt;=$F31,AO$3+6&gt;=$E31),"■","")</x:f>
      </x:c>
      <x:c r="AP31" s="36" t="str">
        <x:f>IF(AND(AP$3&lt;=$F31,AP$3+6&gt;=$E31),"■","")</x:f>
      </x:c>
      <x:c r="AQ31" s="36" t="str">
        <x:f>IF(AND(AQ$3&lt;=$F31,AQ$3+6&gt;=$E31),"■","")</x:f>
      </x:c>
      <x:c r="AR31" s="36" t="str">
        <x:f>IF(AND(AR$3&lt;=$F31,AR$3+6&gt;=$E31),"■","")</x:f>
      </x:c>
      <x:c r="AS31" s="36" t="str">
        <x:f>IF(AND(AS$3&lt;=$F31,AS$3+6&gt;=$E31),"■","")</x:f>
      </x:c>
    </x:row>
    <x:row r="32">
      <x:c r="A32" s="27" t="str">
        <x:v>AT-045</x:v>
      </x:c>
      <x:c r="B32" s="27" t="str">
        <x:v>4.1</x:v>
      </x:c>
      <x:c r="C32" s="27" t="str">
        <x:v>Integration build complete</x:v>
      </x:c>
      <x:c r="D32" s="27" t="str">
        <x:v>Technology Lead</x:v>
      </x:c>
      <x:c r="E32" s="35" t="n">
        <x:v>46150</x:v>
      </x:c>
      <x:c r="F32" s="35" t="n">
        <x:v>46150</x:v>
      </x:c>
      <x:c r="G32" s="36" t="str">
        <x:f>IF(AND(G$3&lt;=$F32,G$3+6&gt;=$E32),"■","")</x:f>
      </x:c>
      <x:c r="H32" s="36" t="str">
        <x:f>IF(AND(H$3&lt;=$F32,H$3+6&gt;=$E32),"■","")</x:f>
      </x:c>
      <x:c r="I32" s="36" t="str">
        <x:f>IF(AND(I$3&lt;=$F32,I$3+6&gt;=$E32),"■","")</x:f>
      </x:c>
      <x:c r="J32" s="36" t="str">
        <x:f>IF(AND(J$3&lt;=$F32,J$3+6&gt;=$E32),"■","")</x:f>
      </x:c>
      <x:c r="K32" s="36" t="str">
        <x:f>IF(AND(K$3&lt;=$F32,K$3+6&gt;=$E32),"■","")</x:f>
      </x:c>
      <x:c r="L32" s="36" t="str">
        <x:f>IF(AND(L$3&lt;=$F32,L$3+6&gt;=$E32),"■","")</x:f>
      </x:c>
      <x:c r="M32" s="36" t="str">
        <x:f>IF(AND(M$3&lt;=$F32,M$3+6&gt;=$E32),"■","")</x:f>
      </x:c>
      <x:c r="N32" s="36" t="str">
        <x:f>IF(AND(N$3&lt;=$F32,N$3+6&gt;=$E32),"■","")</x:f>
      </x:c>
      <x:c r="O32" s="36" t="str">
        <x:f>IF(AND(O$3&lt;=$F32,O$3+6&gt;=$E32),"■","")</x:f>
      </x:c>
      <x:c r="P32" s="36" t="str">
        <x:f>IF(AND(P$3&lt;=$F32,P$3+6&gt;=$E32),"■","")</x:f>
      </x:c>
      <x:c r="Q32" s="36" t="str">
        <x:f>IF(AND(Q$3&lt;=$F32,Q$3+6&gt;=$E32),"■","")</x:f>
      </x:c>
      <x:c r="R32" s="36" t="str">
        <x:f>IF(AND(R$3&lt;=$F32,R$3+6&gt;=$E32),"■","")</x:f>
      </x:c>
      <x:c r="S32" s="36" t="str">
        <x:f>IF(AND(S$3&lt;=$F32,S$3+6&gt;=$E32),"■","")</x:f>
      </x:c>
      <x:c r="T32" s="36" t="str">
        <x:f>IF(AND(T$3&lt;=$F32,T$3+6&gt;=$E32),"■","")</x:f>
      </x:c>
      <x:c r="U32" s="36" t="str">
        <x:f>IF(AND(U$3&lt;=$F32,U$3+6&gt;=$E32),"■","")</x:f>
      </x:c>
      <x:c r="V32" s="36" t="str">
        <x:f>IF(AND(V$3&lt;=$F32,V$3+6&gt;=$E32),"■","")</x:f>
      </x:c>
      <x:c r="W32" s="36" t="str">
        <x:f>IF(AND(W$3&lt;=$F32,W$3+6&gt;=$E32),"■","")</x:f>
      </x:c>
      <x:c r="X32" s="36" t="str">
        <x:f>IF(AND(X$3&lt;=$F32,X$3+6&gt;=$E32),"■","")</x:f>
        <x:v>■</x:v>
      </x:c>
      <x:c r="Y32" s="36" t="str">
        <x:f>IF(AND(Y$3&lt;=$F32,Y$3+6&gt;=$E32),"■","")</x:f>
      </x:c>
      <x:c r="Z32" s="36" t="str">
        <x:f>IF(AND(Z$3&lt;=$F32,Z$3+6&gt;=$E32),"■","")</x:f>
      </x:c>
      <x:c r="AA32" s="36" t="str">
        <x:f>IF(AND(AA$3&lt;=$F32,AA$3+6&gt;=$E32),"■","")</x:f>
      </x:c>
      <x:c r="AB32" s="36" t="str">
        <x:f>IF(AND(AB$3&lt;=$F32,AB$3+6&gt;=$E32),"■","")</x:f>
      </x:c>
      <x:c r="AC32" s="36" t="str">
        <x:f>IF(AND(AC$3&lt;=$F32,AC$3+6&gt;=$E32),"■","")</x:f>
      </x:c>
      <x:c r="AD32" s="36" t="str">
        <x:f>IF(AND(AD$3&lt;=$F32,AD$3+6&gt;=$E32),"■","")</x:f>
      </x:c>
      <x:c r="AE32" s="36" t="str">
        <x:f>IF(AND(AE$3&lt;=$F32,AE$3+6&gt;=$E32),"■","")</x:f>
      </x:c>
      <x:c r="AF32" s="36" t="str">
        <x:f>IF(AND(AF$3&lt;=$F32,AF$3+6&gt;=$E32),"■","")</x:f>
      </x:c>
      <x:c r="AG32" s="36" t="str">
        <x:f>IF(AND(AG$3&lt;=$F32,AG$3+6&gt;=$E32),"■","")</x:f>
      </x:c>
      <x:c r="AH32" s="36" t="str">
        <x:f>IF(AND(AH$3&lt;=$F32,AH$3+6&gt;=$E32),"■","")</x:f>
      </x:c>
      <x:c r="AI32" s="36" t="str">
        <x:f>IF(AND(AI$3&lt;=$F32,AI$3+6&gt;=$E32),"■","")</x:f>
      </x:c>
      <x:c r="AJ32" s="36" t="str">
        <x:f>IF(AND(AJ$3&lt;=$F32,AJ$3+6&gt;=$E32),"■","")</x:f>
      </x:c>
      <x:c r="AK32" s="36" t="str">
        <x:f>IF(AND(AK$3&lt;=$F32,AK$3+6&gt;=$E32),"■","")</x:f>
      </x:c>
      <x:c r="AL32" s="36" t="str">
        <x:f>IF(AND(AL$3&lt;=$F32,AL$3+6&gt;=$E32),"■","")</x:f>
      </x:c>
      <x:c r="AM32" s="36" t="str">
        <x:f>IF(AND(AM$3&lt;=$F32,AM$3+6&gt;=$E32),"■","")</x:f>
      </x:c>
      <x:c r="AN32" s="36" t="str">
        <x:f>IF(AND(AN$3&lt;=$F32,AN$3+6&gt;=$E32),"■","")</x:f>
      </x:c>
      <x:c r="AO32" s="36" t="str">
        <x:f>IF(AND(AO$3&lt;=$F32,AO$3+6&gt;=$E32),"■","")</x:f>
      </x:c>
      <x:c r="AP32" s="36" t="str">
        <x:f>IF(AND(AP$3&lt;=$F32,AP$3+6&gt;=$E32),"■","")</x:f>
      </x:c>
      <x:c r="AQ32" s="36" t="str">
        <x:f>IF(AND(AQ$3&lt;=$F32,AQ$3+6&gt;=$E32),"■","")</x:f>
      </x:c>
      <x:c r="AR32" s="36" t="str">
        <x:f>IF(AND(AR$3&lt;=$F32,AR$3+6&gt;=$E32),"■","")</x:f>
      </x:c>
      <x:c r="AS32" s="36" t="str">
        <x:f>IF(AND(AS$3&lt;=$F32,AS$3+6&gt;=$E32),"■","")</x:f>
      </x:c>
    </x:row>
    <x:row r="33">
      <x:c r="A33" s="27" t="str">
        <x:v>AT-046</x:v>
      </x:c>
      <x:c r="B33" s="27" t="str">
        <x:v>4.2.1</x:v>
      </x:c>
      <x:c r="C33" s="27" t="str">
        <x:v>Source data profiling and mapping</x:v>
      </x:c>
      <x:c r="D33" s="27" t="str">
        <x:v>Integration &amp; Data Migration Lead</x:v>
      </x:c>
      <x:c r="E33" s="35" t="n">
        <x:v>46069</x:v>
      </x:c>
      <x:c r="F33" s="35" t="n">
        <x:v>46087</x:v>
      </x:c>
      <x:c r="G33" s="36" t="str">
        <x:f>IF(AND(G$3&lt;=$F33,G$3+6&gt;=$E33),"■","")</x:f>
      </x:c>
      <x:c r="H33" s="36" t="str">
        <x:f>IF(AND(H$3&lt;=$F33,H$3+6&gt;=$E33),"■","")</x:f>
      </x:c>
      <x:c r="I33" s="36" t="str">
        <x:f>IF(AND(I$3&lt;=$F33,I$3+6&gt;=$E33),"■","")</x:f>
      </x:c>
      <x:c r="J33" s="36" t="str">
        <x:f>IF(AND(J$3&lt;=$F33,J$3+6&gt;=$E33),"■","")</x:f>
      </x:c>
      <x:c r="K33" s="36" t="str">
        <x:f>IF(AND(K$3&lt;=$F33,K$3+6&gt;=$E33),"■","")</x:f>
      </x:c>
      <x:c r="L33" s="36" t="str">
        <x:f>IF(AND(L$3&lt;=$F33,L$3+6&gt;=$E33),"■","")</x:f>
      </x:c>
      <x:c r="M33" s="36" t="str">
        <x:f>IF(AND(M$3&lt;=$F33,M$3+6&gt;=$E33),"■","")</x:f>
        <x:v>■</x:v>
      </x:c>
      <x:c r="N33" s="36" t="str">
        <x:f>IF(AND(N$3&lt;=$F33,N$3+6&gt;=$E33),"■","")</x:f>
        <x:v>■</x:v>
      </x:c>
      <x:c r="O33" s="36" t="str">
        <x:f>IF(AND(O$3&lt;=$F33,O$3+6&gt;=$E33),"■","")</x:f>
        <x:v>■</x:v>
      </x:c>
      <x:c r="P33" s="36" t="str">
        <x:f>IF(AND(P$3&lt;=$F33,P$3+6&gt;=$E33),"■","")</x:f>
      </x:c>
      <x:c r="Q33" s="36" t="str">
        <x:f>IF(AND(Q$3&lt;=$F33,Q$3+6&gt;=$E33),"■","")</x:f>
      </x:c>
      <x:c r="R33" s="36" t="str">
        <x:f>IF(AND(R$3&lt;=$F33,R$3+6&gt;=$E33),"■","")</x:f>
      </x:c>
      <x:c r="S33" s="36" t="str">
        <x:f>IF(AND(S$3&lt;=$F33,S$3+6&gt;=$E33),"■","")</x:f>
      </x:c>
      <x:c r="T33" s="36" t="str">
        <x:f>IF(AND(T$3&lt;=$F33,T$3+6&gt;=$E33),"■","")</x:f>
      </x:c>
      <x:c r="U33" s="36" t="str">
        <x:f>IF(AND(U$3&lt;=$F33,U$3+6&gt;=$E33),"■","")</x:f>
      </x:c>
      <x:c r="V33" s="36" t="str">
        <x:f>IF(AND(V$3&lt;=$F33,V$3+6&gt;=$E33),"■","")</x:f>
      </x:c>
      <x:c r="W33" s="36" t="str">
        <x:f>IF(AND(W$3&lt;=$F33,W$3+6&gt;=$E33),"■","")</x:f>
      </x:c>
      <x:c r="X33" s="36" t="str">
        <x:f>IF(AND(X$3&lt;=$F33,X$3+6&gt;=$E33),"■","")</x:f>
      </x:c>
      <x:c r="Y33" s="36" t="str">
        <x:f>IF(AND(Y$3&lt;=$F33,Y$3+6&gt;=$E33),"■","")</x:f>
      </x:c>
      <x:c r="Z33" s="36" t="str">
        <x:f>IF(AND(Z$3&lt;=$F33,Z$3+6&gt;=$E33),"■","")</x:f>
      </x:c>
      <x:c r="AA33" s="36" t="str">
        <x:f>IF(AND(AA$3&lt;=$F33,AA$3+6&gt;=$E33),"■","")</x:f>
      </x:c>
      <x:c r="AB33" s="36" t="str">
        <x:f>IF(AND(AB$3&lt;=$F33,AB$3+6&gt;=$E33),"■","")</x:f>
      </x:c>
      <x:c r="AC33" s="36" t="str">
        <x:f>IF(AND(AC$3&lt;=$F33,AC$3+6&gt;=$E33),"■","")</x:f>
      </x:c>
      <x:c r="AD33" s="36" t="str">
        <x:f>IF(AND(AD$3&lt;=$F33,AD$3+6&gt;=$E33),"■","")</x:f>
      </x:c>
      <x:c r="AE33" s="36" t="str">
        <x:f>IF(AND(AE$3&lt;=$F33,AE$3+6&gt;=$E33),"■","")</x:f>
      </x:c>
      <x:c r="AF33" s="36" t="str">
        <x:f>IF(AND(AF$3&lt;=$F33,AF$3+6&gt;=$E33),"■","")</x:f>
      </x:c>
      <x:c r="AG33" s="36" t="str">
        <x:f>IF(AND(AG$3&lt;=$F33,AG$3+6&gt;=$E33),"■","")</x:f>
      </x:c>
      <x:c r="AH33" s="36" t="str">
        <x:f>IF(AND(AH$3&lt;=$F33,AH$3+6&gt;=$E33),"■","")</x:f>
      </x:c>
      <x:c r="AI33" s="36" t="str">
        <x:f>IF(AND(AI$3&lt;=$F33,AI$3+6&gt;=$E33),"■","")</x:f>
      </x:c>
      <x:c r="AJ33" s="36" t="str">
        <x:f>IF(AND(AJ$3&lt;=$F33,AJ$3+6&gt;=$E33),"■","")</x:f>
      </x:c>
      <x:c r="AK33" s="36" t="str">
        <x:f>IF(AND(AK$3&lt;=$F33,AK$3+6&gt;=$E33),"■","")</x:f>
      </x:c>
      <x:c r="AL33" s="36" t="str">
        <x:f>IF(AND(AL$3&lt;=$F33,AL$3+6&gt;=$E33),"■","")</x:f>
      </x:c>
      <x:c r="AM33" s="36" t="str">
        <x:f>IF(AND(AM$3&lt;=$F33,AM$3+6&gt;=$E33),"■","")</x:f>
      </x:c>
      <x:c r="AN33" s="36" t="str">
        <x:f>IF(AND(AN$3&lt;=$F33,AN$3+6&gt;=$E33),"■","")</x:f>
      </x:c>
      <x:c r="AO33" s="36" t="str">
        <x:f>IF(AND(AO$3&lt;=$F33,AO$3+6&gt;=$E33),"■","")</x:f>
      </x:c>
      <x:c r="AP33" s="36" t="str">
        <x:f>IF(AND(AP$3&lt;=$F33,AP$3+6&gt;=$E33),"■","")</x:f>
      </x:c>
      <x:c r="AQ33" s="36" t="str">
        <x:f>IF(AND(AQ$3&lt;=$F33,AQ$3+6&gt;=$E33),"■","")</x:f>
      </x:c>
      <x:c r="AR33" s="36" t="str">
        <x:f>IF(AND(AR$3&lt;=$F33,AR$3+6&gt;=$E33),"■","")</x:f>
      </x:c>
      <x:c r="AS33" s="36" t="str">
        <x:f>IF(AND(AS$3&lt;=$F33,AS$3+6&gt;=$E33),"■","")</x:f>
      </x:c>
    </x:row>
    <x:row r="34">
      <x:c r="A34" s="27" t="str">
        <x:v>AT-047</x:v>
      </x:c>
      <x:c r="B34" s="27" t="str">
        <x:v>4.2.2</x:v>
      </x:c>
      <x:c r="C34" s="27" t="str">
        <x:v>Migration routines and reconciliation controls</x:v>
      </x:c>
      <x:c r="D34" s="27" t="str">
        <x:v>Integration &amp; Data Migration Lead</x:v>
      </x:c>
      <x:c r="E34" s="35" t="n">
        <x:v>46090</x:v>
      </x:c>
      <x:c r="F34" s="35" t="n">
        <x:v>46136</x:v>
      </x:c>
      <x:c r="G34" s="36" t="str">
        <x:f>IF(AND(G$3&lt;=$F34,G$3+6&gt;=$E34),"■","")</x:f>
      </x:c>
      <x:c r="H34" s="36" t="str">
        <x:f>IF(AND(H$3&lt;=$F34,H$3+6&gt;=$E34),"■","")</x:f>
      </x:c>
      <x:c r="I34" s="36" t="str">
        <x:f>IF(AND(I$3&lt;=$F34,I$3+6&gt;=$E34),"■","")</x:f>
      </x:c>
      <x:c r="J34" s="36" t="str">
        <x:f>IF(AND(J$3&lt;=$F34,J$3+6&gt;=$E34),"■","")</x:f>
      </x:c>
      <x:c r="K34" s="36" t="str">
        <x:f>IF(AND(K$3&lt;=$F34,K$3+6&gt;=$E34),"■","")</x:f>
      </x:c>
      <x:c r="L34" s="36" t="str">
        <x:f>IF(AND(L$3&lt;=$F34,L$3+6&gt;=$E34),"■","")</x:f>
      </x:c>
      <x:c r="M34" s="36" t="str">
        <x:f>IF(AND(M$3&lt;=$F34,M$3+6&gt;=$E34),"■","")</x:f>
      </x:c>
      <x:c r="N34" s="36" t="str">
        <x:f>IF(AND(N$3&lt;=$F34,N$3+6&gt;=$E34),"■","")</x:f>
      </x:c>
      <x:c r="O34" s="36" t="str">
        <x:f>IF(AND(O$3&lt;=$F34,O$3+6&gt;=$E34),"■","")</x:f>
      </x:c>
      <x:c r="P34" s="36" t="str">
        <x:f>IF(AND(P$3&lt;=$F34,P$3+6&gt;=$E34),"■","")</x:f>
        <x:v>■</x:v>
      </x:c>
      <x:c r="Q34" s="36" t="str">
        <x:f>IF(AND(Q$3&lt;=$F34,Q$3+6&gt;=$E34),"■","")</x:f>
        <x:v>■</x:v>
      </x:c>
      <x:c r="R34" s="36" t="str">
        <x:f>IF(AND(R$3&lt;=$F34,R$3+6&gt;=$E34),"■","")</x:f>
        <x:v>■</x:v>
      </x:c>
      <x:c r="S34" s="36" t="str">
        <x:f>IF(AND(S$3&lt;=$F34,S$3+6&gt;=$E34),"■","")</x:f>
        <x:v>■</x:v>
      </x:c>
      <x:c r="T34" s="36" t="str">
        <x:f>IF(AND(T$3&lt;=$F34,T$3+6&gt;=$E34),"■","")</x:f>
        <x:v>■</x:v>
      </x:c>
      <x:c r="U34" s="36" t="str">
        <x:f>IF(AND(U$3&lt;=$F34,U$3+6&gt;=$E34),"■","")</x:f>
        <x:v>■</x:v>
      </x:c>
      <x:c r="V34" s="36" t="str">
        <x:f>IF(AND(V$3&lt;=$F34,V$3+6&gt;=$E34),"■","")</x:f>
        <x:v>■</x:v>
      </x:c>
      <x:c r="W34" s="36" t="str">
        <x:f>IF(AND(W$3&lt;=$F34,W$3+6&gt;=$E34),"■","")</x:f>
      </x:c>
      <x:c r="X34" s="36" t="str">
        <x:f>IF(AND(X$3&lt;=$F34,X$3+6&gt;=$E34),"■","")</x:f>
      </x:c>
      <x:c r="Y34" s="36" t="str">
        <x:f>IF(AND(Y$3&lt;=$F34,Y$3+6&gt;=$E34),"■","")</x:f>
      </x:c>
      <x:c r="Z34" s="36" t="str">
        <x:f>IF(AND(Z$3&lt;=$F34,Z$3+6&gt;=$E34),"■","")</x:f>
      </x:c>
      <x:c r="AA34" s="36" t="str">
        <x:f>IF(AND(AA$3&lt;=$F34,AA$3+6&gt;=$E34),"■","")</x:f>
      </x:c>
      <x:c r="AB34" s="36" t="str">
        <x:f>IF(AND(AB$3&lt;=$F34,AB$3+6&gt;=$E34),"■","")</x:f>
      </x:c>
      <x:c r="AC34" s="36" t="str">
        <x:f>IF(AND(AC$3&lt;=$F34,AC$3+6&gt;=$E34),"■","")</x:f>
      </x:c>
      <x:c r="AD34" s="36" t="str">
        <x:f>IF(AND(AD$3&lt;=$F34,AD$3+6&gt;=$E34),"■","")</x:f>
      </x:c>
      <x:c r="AE34" s="36" t="str">
        <x:f>IF(AND(AE$3&lt;=$F34,AE$3+6&gt;=$E34),"■","")</x:f>
      </x:c>
      <x:c r="AF34" s="36" t="str">
        <x:f>IF(AND(AF$3&lt;=$F34,AF$3+6&gt;=$E34),"■","")</x:f>
      </x:c>
      <x:c r="AG34" s="36" t="str">
        <x:f>IF(AND(AG$3&lt;=$F34,AG$3+6&gt;=$E34),"■","")</x:f>
      </x:c>
      <x:c r="AH34" s="36" t="str">
        <x:f>IF(AND(AH$3&lt;=$F34,AH$3+6&gt;=$E34),"■","")</x:f>
      </x:c>
      <x:c r="AI34" s="36" t="str">
        <x:f>IF(AND(AI$3&lt;=$F34,AI$3+6&gt;=$E34),"■","")</x:f>
      </x:c>
      <x:c r="AJ34" s="36" t="str">
        <x:f>IF(AND(AJ$3&lt;=$F34,AJ$3+6&gt;=$E34),"■","")</x:f>
      </x:c>
      <x:c r="AK34" s="36" t="str">
        <x:f>IF(AND(AK$3&lt;=$F34,AK$3+6&gt;=$E34),"■","")</x:f>
      </x:c>
      <x:c r="AL34" s="36" t="str">
        <x:f>IF(AND(AL$3&lt;=$F34,AL$3+6&gt;=$E34),"■","")</x:f>
      </x:c>
      <x:c r="AM34" s="36" t="str">
        <x:f>IF(AND(AM$3&lt;=$F34,AM$3+6&gt;=$E34),"■","")</x:f>
      </x:c>
      <x:c r="AN34" s="36" t="str">
        <x:f>IF(AND(AN$3&lt;=$F34,AN$3+6&gt;=$E34),"■","")</x:f>
      </x:c>
      <x:c r="AO34" s="36" t="str">
        <x:f>IF(AND(AO$3&lt;=$F34,AO$3+6&gt;=$E34),"■","")</x:f>
      </x:c>
      <x:c r="AP34" s="36" t="str">
        <x:f>IF(AND(AP$3&lt;=$F34,AP$3+6&gt;=$E34),"■","")</x:f>
      </x:c>
      <x:c r="AQ34" s="36" t="str">
        <x:f>IF(AND(AQ$3&lt;=$F34,AQ$3+6&gt;=$E34),"■","")</x:f>
      </x:c>
      <x:c r="AR34" s="36" t="str">
        <x:f>IF(AND(AR$3&lt;=$F34,AR$3+6&gt;=$E34),"■","")</x:f>
      </x:c>
      <x:c r="AS34" s="36" t="str">
        <x:f>IF(AND(AS$3&lt;=$F34,AS$3+6&gt;=$E34),"■","")</x:f>
      </x:c>
    </x:row>
    <x:row r="35">
      <x:c r="A35" s="27" t="str">
        <x:v>AT-048</x:v>
      </x:c>
      <x:c r="B35" s="27" t="str">
        <x:v>4.2.3</x:v>
      </x:c>
      <x:c r="C35" s="27" t="str">
        <x:v>Trial migration preparation</x:v>
      </x:c>
      <x:c r="D35" s="27" t="str">
        <x:v>Integration &amp; Data Migration Lead</x:v>
      </x:c>
      <x:c r="E35" s="35" t="n">
        <x:v>46139</x:v>
      </x:c>
      <x:c r="F35" s="35" t="n">
        <x:v>46150</x:v>
      </x:c>
      <x:c r="G35" s="36" t="str">
        <x:f>IF(AND(G$3&lt;=$F35,G$3+6&gt;=$E35),"■","")</x:f>
      </x:c>
      <x:c r="H35" s="36" t="str">
        <x:f>IF(AND(H$3&lt;=$F35,H$3+6&gt;=$E35),"■","")</x:f>
      </x:c>
      <x:c r="I35" s="36" t="str">
        <x:f>IF(AND(I$3&lt;=$F35,I$3+6&gt;=$E35),"■","")</x:f>
      </x:c>
      <x:c r="J35" s="36" t="str">
        <x:f>IF(AND(J$3&lt;=$F35,J$3+6&gt;=$E35),"■","")</x:f>
      </x:c>
      <x:c r="K35" s="36" t="str">
        <x:f>IF(AND(K$3&lt;=$F35,K$3+6&gt;=$E35),"■","")</x:f>
      </x:c>
      <x:c r="L35" s="36" t="str">
        <x:f>IF(AND(L$3&lt;=$F35,L$3+6&gt;=$E35),"■","")</x:f>
      </x:c>
      <x:c r="M35" s="36" t="str">
        <x:f>IF(AND(M$3&lt;=$F35,M$3+6&gt;=$E35),"■","")</x:f>
      </x:c>
      <x:c r="N35" s="36" t="str">
        <x:f>IF(AND(N$3&lt;=$F35,N$3+6&gt;=$E35),"■","")</x:f>
      </x:c>
      <x:c r="O35" s="36" t="str">
        <x:f>IF(AND(O$3&lt;=$F35,O$3+6&gt;=$E35),"■","")</x:f>
      </x:c>
      <x:c r="P35" s="36" t="str">
        <x:f>IF(AND(P$3&lt;=$F35,P$3+6&gt;=$E35),"■","")</x:f>
      </x:c>
      <x:c r="Q35" s="36" t="str">
        <x:f>IF(AND(Q$3&lt;=$F35,Q$3+6&gt;=$E35),"■","")</x:f>
      </x:c>
      <x:c r="R35" s="36" t="str">
        <x:f>IF(AND(R$3&lt;=$F35,R$3+6&gt;=$E35),"■","")</x:f>
      </x:c>
      <x:c r="S35" s="36" t="str">
        <x:f>IF(AND(S$3&lt;=$F35,S$3+6&gt;=$E35),"■","")</x:f>
      </x:c>
      <x:c r="T35" s="36" t="str">
        <x:f>IF(AND(T$3&lt;=$F35,T$3+6&gt;=$E35),"■","")</x:f>
      </x:c>
      <x:c r="U35" s="36" t="str">
        <x:f>IF(AND(U$3&lt;=$F35,U$3+6&gt;=$E35),"■","")</x:f>
      </x:c>
      <x:c r="V35" s="36" t="str">
        <x:f>IF(AND(V$3&lt;=$F35,V$3+6&gt;=$E35),"■","")</x:f>
      </x:c>
      <x:c r="W35" s="36" t="str">
        <x:f>IF(AND(W$3&lt;=$F35,W$3+6&gt;=$E35),"■","")</x:f>
        <x:v>■</x:v>
      </x:c>
      <x:c r="X35" s="36" t="str">
        <x:f>IF(AND(X$3&lt;=$F35,X$3+6&gt;=$E35),"■","")</x:f>
        <x:v>■</x:v>
      </x:c>
      <x:c r="Y35" s="36" t="str">
        <x:f>IF(AND(Y$3&lt;=$F35,Y$3+6&gt;=$E35),"■","")</x:f>
      </x:c>
      <x:c r="Z35" s="36" t="str">
        <x:f>IF(AND(Z$3&lt;=$F35,Z$3+6&gt;=$E35),"■","")</x:f>
      </x:c>
      <x:c r="AA35" s="36" t="str">
        <x:f>IF(AND(AA$3&lt;=$F35,AA$3+6&gt;=$E35),"■","")</x:f>
      </x:c>
      <x:c r="AB35" s="36" t="str">
        <x:f>IF(AND(AB$3&lt;=$F35,AB$3+6&gt;=$E35),"■","")</x:f>
      </x:c>
      <x:c r="AC35" s="36" t="str">
        <x:f>IF(AND(AC$3&lt;=$F35,AC$3+6&gt;=$E35),"■","")</x:f>
      </x:c>
      <x:c r="AD35" s="36" t="str">
        <x:f>IF(AND(AD$3&lt;=$F35,AD$3+6&gt;=$E35),"■","")</x:f>
      </x:c>
      <x:c r="AE35" s="36" t="str">
        <x:f>IF(AND(AE$3&lt;=$F35,AE$3+6&gt;=$E35),"■","")</x:f>
      </x:c>
      <x:c r="AF35" s="36" t="str">
        <x:f>IF(AND(AF$3&lt;=$F35,AF$3+6&gt;=$E35),"■","")</x:f>
      </x:c>
      <x:c r="AG35" s="36" t="str">
        <x:f>IF(AND(AG$3&lt;=$F35,AG$3+6&gt;=$E35),"■","")</x:f>
      </x:c>
      <x:c r="AH35" s="36" t="str">
        <x:f>IF(AND(AH$3&lt;=$F35,AH$3+6&gt;=$E35),"■","")</x:f>
      </x:c>
      <x:c r="AI35" s="36" t="str">
        <x:f>IF(AND(AI$3&lt;=$F35,AI$3+6&gt;=$E35),"■","")</x:f>
      </x:c>
      <x:c r="AJ35" s="36" t="str">
        <x:f>IF(AND(AJ$3&lt;=$F35,AJ$3+6&gt;=$E35),"■","")</x:f>
      </x:c>
      <x:c r="AK35" s="36" t="str">
        <x:f>IF(AND(AK$3&lt;=$F35,AK$3+6&gt;=$E35),"■","")</x:f>
      </x:c>
      <x:c r="AL35" s="36" t="str">
        <x:f>IF(AND(AL$3&lt;=$F35,AL$3+6&gt;=$E35),"■","")</x:f>
      </x:c>
      <x:c r="AM35" s="36" t="str">
        <x:f>IF(AND(AM$3&lt;=$F35,AM$3+6&gt;=$E35),"■","")</x:f>
      </x:c>
      <x:c r="AN35" s="36" t="str">
        <x:f>IF(AND(AN$3&lt;=$F35,AN$3+6&gt;=$E35),"■","")</x:f>
      </x:c>
      <x:c r="AO35" s="36" t="str">
        <x:f>IF(AND(AO$3&lt;=$F35,AO$3+6&gt;=$E35),"■","")</x:f>
      </x:c>
      <x:c r="AP35" s="36" t="str">
        <x:f>IF(AND(AP$3&lt;=$F35,AP$3+6&gt;=$E35),"■","")</x:f>
      </x:c>
      <x:c r="AQ35" s="36" t="str">
        <x:f>IF(AND(AQ$3&lt;=$F35,AQ$3+6&gt;=$E35),"■","")</x:f>
      </x:c>
      <x:c r="AR35" s="36" t="str">
        <x:f>IF(AND(AR$3&lt;=$F35,AR$3+6&gt;=$E35),"■","")</x:f>
      </x:c>
      <x:c r="AS35" s="36" t="str">
        <x:f>IF(AND(AS$3&lt;=$F35,AS$3+6&gt;=$E35),"■","")</x:f>
      </x:c>
    </x:row>
    <x:row r="36">
      <x:c r="A36" s="27" t="str">
        <x:v>AT-049</x:v>
      </x:c>
      <x:c r="B36" s="27" t="str">
        <x:v>4.2.3</x:v>
      </x:c>
      <x:c r="C36" s="27" t="str">
        <x:v>Execute trial migration and reconciliation</x:v>
      </x:c>
      <x:c r="D36" s="27" t="str">
        <x:v>Integration &amp; Data Migration Lead</x:v>
      </x:c>
      <x:c r="E36" s="35" t="n">
        <x:v>46153</x:v>
      </x:c>
      <x:c r="F36" s="35" t="n">
        <x:v>46164</x:v>
      </x:c>
      <x:c r="G36" s="36" t="str">
        <x:f>IF(AND(G$3&lt;=$F36,G$3+6&gt;=$E36),"■","")</x:f>
      </x:c>
      <x:c r="H36" s="36" t="str">
        <x:f>IF(AND(H$3&lt;=$F36,H$3+6&gt;=$E36),"■","")</x:f>
      </x:c>
      <x:c r="I36" s="36" t="str">
        <x:f>IF(AND(I$3&lt;=$F36,I$3+6&gt;=$E36),"■","")</x:f>
      </x:c>
      <x:c r="J36" s="36" t="str">
        <x:f>IF(AND(J$3&lt;=$F36,J$3+6&gt;=$E36),"■","")</x:f>
      </x:c>
      <x:c r="K36" s="36" t="str">
        <x:f>IF(AND(K$3&lt;=$F36,K$3+6&gt;=$E36),"■","")</x:f>
      </x:c>
      <x:c r="L36" s="36" t="str">
        <x:f>IF(AND(L$3&lt;=$F36,L$3+6&gt;=$E36),"■","")</x:f>
      </x:c>
      <x:c r="M36" s="36" t="str">
        <x:f>IF(AND(M$3&lt;=$F36,M$3+6&gt;=$E36),"■","")</x:f>
      </x:c>
      <x:c r="N36" s="36" t="str">
        <x:f>IF(AND(N$3&lt;=$F36,N$3+6&gt;=$E36),"■","")</x:f>
      </x:c>
      <x:c r="O36" s="36" t="str">
        <x:f>IF(AND(O$3&lt;=$F36,O$3+6&gt;=$E36),"■","")</x:f>
      </x:c>
      <x:c r="P36" s="36" t="str">
        <x:f>IF(AND(P$3&lt;=$F36,P$3+6&gt;=$E36),"■","")</x:f>
      </x:c>
      <x:c r="Q36" s="36" t="str">
        <x:f>IF(AND(Q$3&lt;=$F36,Q$3+6&gt;=$E36),"■","")</x:f>
      </x:c>
      <x:c r="R36" s="36" t="str">
        <x:f>IF(AND(R$3&lt;=$F36,R$3+6&gt;=$E36),"■","")</x:f>
      </x:c>
      <x:c r="S36" s="36" t="str">
        <x:f>IF(AND(S$3&lt;=$F36,S$3+6&gt;=$E36),"■","")</x:f>
      </x:c>
      <x:c r="T36" s="36" t="str">
        <x:f>IF(AND(T$3&lt;=$F36,T$3+6&gt;=$E36),"■","")</x:f>
      </x:c>
      <x:c r="U36" s="36" t="str">
        <x:f>IF(AND(U$3&lt;=$F36,U$3+6&gt;=$E36),"■","")</x:f>
      </x:c>
      <x:c r="V36" s="36" t="str">
        <x:f>IF(AND(V$3&lt;=$F36,V$3+6&gt;=$E36),"■","")</x:f>
      </x:c>
      <x:c r="W36" s="36" t="str">
        <x:f>IF(AND(W$3&lt;=$F36,W$3+6&gt;=$E36),"■","")</x:f>
      </x:c>
      <x:c r="X36" s="36" t="str">
        <x:f>IF(AND(X$3&lt;=$F36,X$3+6&gt;=$E36),"■","")</x:f>
      </x:c>
      <x:c r="Y36" s="36" t="str">
        <x:f>IF(AND(Y$3&lt;=$F36,Y$3+6&gt;=$E36),"■","")</x:f>
        <x:v>■</x:v>
      </x:c>
      <x:c r="Z36" s="36" t="str">
        <x:f>IF(AND(Z$3&lt;=$F36,Z$3+6&gt;=$E36),"■","")</x:f>
        <x:v>■</x:v>
      </x:c>
      <x:c r="AA36" s="36" t="str">
        <x:f>IF(AND(AA$3&lt;=$F36,AA$3+6&gt;=$E36),"■","")</x:f>
      </x:c>
      <x:c r="AB36" s="36" t="str">
        <x:f>IF(AND(AB$3&lt;=$F36,AB$3+6&gt;=$E36),"■","")</x:f>
      </x:c>
      <x:c r="AC36" s="36" t="str">
        <x:f>IF(AND(AC$3&lt;=$F36,AC$3+6&gt;=$E36),"■","")</x:f>
      </x:c>
      <x:c r="AD36" s="36" t="str">
        <x:f>IF(AND(AD$3&lt;=$F36,AD$3+6&gt;=$E36),"■","")</x:f>
      </x:c>
      <x:c r="AE36" s="36" t="str">
        <x:f>IF(AND(AE$3&lt;=$F36,AE$3+6&gt;=$E36),"■","")</x:f>
      </x:c>
      <x:c r="AF36" s="36" t="str">
        <x:f>IF(AND(AF$3&lt;=$F36,AF$3+6&gt;=$E36),"■","")</x:f>
      </x:c>
      <x:c r="AG36" s="36" t="str">
        <x:f>IF(AND(AG$3&lt;=$F36,AG$3+6&gt;=$E36),"■","")</x:f>
      </x:c>
      <x:c r="AH36" s="36" t="str">
        <x:f>IF(AND(AH$3&lt;=$F36,AH$3+6&gt;=$E36),"■","")</x:f>
      </x:c>
      <x:c r="AI36" s="36" t="str">
        <x:f>IF(AND(AI$3&lt;=$F36,AI$3+6&gt;=$E36),"■","")</x:f>
      </x:c>
      <x:c r="AJ36" s="36" t="str">
        <x:f>IF(AND(AJ$3&lt;=$F36,AJ$3+6&gt;=$E36),"■","")</x:f>
      </x:c>
      <x:c r="AK36" s="36" t="str">
        <x:f>IF(AND(AK$3&lt;=$F36,AK$3+6&gt;=$E36),"■","")</x:f>
      </x:c>
      <x:c r="AL36" s="36" t="str">
        <x:f>IF(AND(AL$3&lt;=$F36,AL$3+6&gt;=$E36),"■","")</x:f>
      </x:c>
      <x:c r="AM36" s="36" t="str">
        <x:f>IF(AND(AM$3&lt;=$F36,AM$3+6&gt;=$E36),"■","")</x:f>
      </x:c>
      <x:c r="AN36" s="36" t="str">
        <x:f>IF(AND(AN$3&lt;=$F36,AN$3+6&gt;=$E36),"■","")</x:f>
      </x:c>
      <x:c r="AO36" s="36" t="str">
        <x:f>IF(AND(AO$3&lt;=$F36,AO$3+6&gt;=$E36),"■","")</x:f>
      </x:c>
      <x:c r="AP36" s="36" t="str">
        <x:f>IF(AND(AP$3&lt;=$F36,AP$3+6&gt;=$E36),"■","")</x:f>
      </x:c>
      <x:c r="AQ36" s="36" t="str">
        <x:f>IF(AND(AQ$3&lt;=$F36,AQ$3+6&gt;=$E36),"■","")</x:f>
      </x:c>
      <x:c r="AR36" s="36" t="str">
        <x:f>IF(AND(AR$3&lt;=$F36,AR$3+6&gt;=$E36),"■","")</x:f>
      </x:c>
      <x:c r="AS36" s="36" t="str">
        <x:f>IF(AND(AS$3&lt;=$F36,AS$3+6&gt;=$E36),"■","")</x:f>
      </x:c>
    </x:row>
    <x:row r="37">
      <x:c r="A37" s="27" t="str">
        <x:v>AT-050</x:v>
      </x:c>
      <x:c r="B37" s="27" t="str">
        <x:v>5.1.1</x:v>
      </x:c>
      <x:c r="C37" s="27" t="str">
        <x:v>Develop test and validation strategy</x:v>
      </x:c>
      <x:c r="D37" s="27" t="str">
        <x:v>Validation &amp; Deployment Lead</x:v>
      </x:c>
      <x:c r="E37" s="35" t="n">
        <x:v>46104</x:v>
      </x:c>
      <x:c r="F37" s="35" t="n">
        <x:v>46122</x:v>
      </x:c>
      <x:c r="G37" s="36" t="str">
        <x:f>IF(AND(G$3&lt;=$F37,G$3+6&gt;=$E37),"■","")</x:f>
      </x:c>
      <x:c r="H37" s="36" t="str">
        <x:f>IF(AND(H$3&lt;=$F37,H$3+6&gt;=$E37),"■","")</x:f>
      </x:c>
      <x:c r="I37" s="36" t="str">
        <x:f>IF(AND(I$3&lt;=$F37,I$3+6&gt;=$E37),"■","")</x:f>
      </x:c>
      <x:c r="J37" s="36" t="str">
        <x:f>IF(AND(J$3&lt;=$F37,J$3+6&gt;=$E37),"■","")</x:f>
      </x:c>
      <x:c r="K37" s="36" t="str">
        <x:f>IF(AND(K$3&lt;=$F37,K$3+6&gt;=$E37),"■","")</x:f>
      </x:c>
      <x:c r="L37" s="36" t="str">
        <x:f>IF(AND(L$3&lt;=$F37,L$3+6&gt;=$E37),"■","")</x:f>
      </x:c>
      <x:c r="M37" s="36" t="str">
        <x:f>IF(AND(M$3&lt;=$F37,M$3+6&gt;=$E37),"■","")</x:f>
      </x:c>
      <x:c r="N37" s="36" t="str">
        <x:f>IF(AND(N$3&lt;=$F37,N$3+6&gt;=$E37),"■","")</x:f>
      </x:c>
      <x:c r="O37" s="36" t="str">
        <x:f>IF(AND(O$3&lt;=$F37,O$3+6&gt;=$E37),"■","")</x:f>
      </x:c>
      <x:c r="P37" s="36" t="str">
        <x:f>IF(AND(P$3&lt;=$F37,P$3+6&gt;=$E37),"■","")</x:f>
      </x:c>
      <x:c r="Q37" s="36" t="str">
        <x:f>IF(AND(Q$3&lt;=$F37,Q$3+6&gt;=$E37),"■","")</x:f>
      </x:c>
      <x:c r="R37" s="36" t="str">
        <x:f>IF(AND(R$3&lt;=$F37,R$3+6&gt;=$E37),"■","")</x:f>
        <x:v>■</x:v>
      </x:c>
      <x:c r="S37" s="36" t="str">
        <x:f>IF(AND(S$3&lt;=$F37,S$3+6&gt;=$E37),"■","")</x:f>
        <x:v>■</x:v>
      </x:c>
      <x:c r="T37" s="36" t="str">
        <x:f>IF(AND(T$3&lt;=$F37,T$3+6&gt;=$E37),"■","")</x:f>
        <x:v>■</x:v>
      </x:c>
      <x:c r="U37" s="36" t="str">
        <x:f>IF(AND(U$3&lt;=$F37,U$3+6&gt;=$E37),"■","")</x:f>
      </x:c>
      <x:c r="V37" s="36" t="str">
        <x:f>IF(AND(V$3&lt;=$F37,V$3+6&gt;=$E37),"■","")</x:f>
      </x:c>
      <x:c r="W37" s="36" t="str">
        <x:f>IF(AND(W$3&lt;=$F37,W$3+6&gt;=$E37),"■","")</x:f>
      </x:c>
      <x:c r="X37" s="36" t="str">
        <x:f>IF(AND(X$3&lt;=$F37,X$3+6&gt;=$E37),"■","")</x:f>
      </x:c>
      <x:c r="Y37" s="36" t="str">
        <x:f>IF(AND(Y$3&lt;=$F37,Y$3+6&gt;=$E37),"■","")</x:f>
      </x:c>
      <x:c r="Z37" s="36" t="str">
        <x:f>IF(AND(Z$3&lt;=$F37,Z$3+6&gt;=$E37),"■","")</x:f>
      </x:c>
      <x:c r="AA37" s="36" t="str">
        <x:f>IF(AND(AA$3&lt;=$F37,AA$3+6&gt;=$E37),"■","")</x:f>
      </x:c>
      <x:c r="AB37" s="36" t="str">
        <x:f>IF(AND(AB$3&lt;=$F37,AB$3+6&gt;=$E37),"■","")</x:f>
      </x:c>
      <x:c r="AC37" s="36" t="str">
        <x:f>IF(AND(AC$3&lt;=$F37,AC$3+6&gt;=$E37),"■","")</x:f>
      </x:c>
      <x:c r="AD37" s="36" t="str">
        <x:f>IF(AND(AD$3&lt;=$F37,AD$3+6&gt;=$E37),"■","")</x:f>
      </x:c>
      <x:c r="AE37" s="36" t="str">
        <x:f>IF(AND(AE$3&lt;=$F37,AE$3+6&gt;=$E37),"■","")</x:f>
      </x:c>
      <x:c r="AF37" s="36" t="str">
        <x:f>IF(AND(AF$3&lt;=$F37,AF$3+6&gt;=$E37),"■","")</x:f>
      </x:c>
      <x:c r="AG37" s="36" t="str">
        <x:f>IF(AND(AG$3&lt;=$F37,AG$3+6&gt;=$E37),"■","")</x:f>
      </x:c>
      <x:c r="AH37" s="36" t="str">
        <x:f>IF(AND(AH$3&lt;=$F37,AH$3+6&gt;=$E37),"■","")</x:f>
      </x:c>
      <x:c r="AI37" s="36" t="str">
        <x:f>IF(AND(AI$3&lt;=$F37,AI$3+6&gt;=$E37),"■","")</x:f>
      </x:c>
      <x:c r="AJ37" s="36" t="str">
        <x:f>IF(AND(AJ$3&lt;=$F37,AJ$3+6&gt;=$E37),"■","")</x:f>
      </x:c>
      <x:c r="AK37" s="36" t="str">
        <x:f>IF(AND(AK$3&lt;=$F37,AK$3+6&gt;=$E37),"■","")</x:f>
      </x:c>
      <x:c r="AL37" s="36" t="str">
        <x:f>IF(AND(AL$3&lt;=$F37,AL$3+6&gt;=$E37),"■","")</x:f>
      </x:c>
      <x:c r="AM37" s="36" t="str">
        <x:f>IF(AND(AM$3&lt;=$F37,AM$3+6&gt;=$E37),"■","")</x:f>
      </x:c>
      <x:c r="AN37" s="36" t="str">
        <x:f>IF(AND(AN$3&lt;=$F37,AN$3+6&gt;=$E37),"■","")</x:f>
      </x:c>
      <x:c r="AO37" s="36" t="str">
        <x:f>IF(AND(AO$3&lt;=$F37,AO$3+6&gt;=$E37),"■","")</x:f>
      </x:c>
      <x:c r="AP37" s="36" t="str">
        <x:f>IF(AND(AP$3&lt;=$F37,AP$3+6&gt;=$E37),"■","")</x:f>
      </x:c>
      <x:c r="AQ37" s="36" t="str">
        <x:f>IF(AND(AQ$3&lt;=$F37,AQ$3+6&gt;=$E37),"■","")</x:f>
      </x:c>
      <x:c r="AR37" s="36" t="str">
        <x:f>IF(AND(AR$3&lt;=$F37,AR$3+6&gt;=$E37),"■","")</x:f>
      </x:c>
      <x:c r="AS37" s="36" t="str">
        <x:f>IF(AND(AS$3&lt;=$F37,AS$3+6&gt;=$E37),"■","")</x:f>
      </x:c>
    </x:row>
    <x:row r="38">
      <x:c r="A38" s="27" t="str">
        <x:v>AT-051</x:v>
      </x:c>
      <x:c r="B38" s="27" t="str">
        <x:v>5.1.2</x:v>
      </x:c>
      <x:c r="C38" s="27" t="str">
        <x:v>Prepare test cases and traceability</x:v>
      </x:c>
      <x:c r="D38" s="27" t="str">
        <x:v>Validation &amp; Deployment Lead</x:v>
      </x:c>
      <x:c r="E38" s="35" t="n">
        <x:v>46125</x:v>
      </x:c>
      <x:c r="F38" s="35" t="n">
        <x:v>46143</x:v>
      </x:c>
      <x:c r="G38" s="36" t="str">
        <x:f>IF(AND(G$3&lt;=$F38,G$3+6&gt;=$E38),"■","")</x:f>
      </x:c>
      <x:c r="H38" s="36" t="str">
        <x:f>IF(AND(H$3&lt;=$F38,H$3+6&gt;=$E38),"■","")</x:f>
      </x:c>
      <x:c r="I38" s="36" t="str">
        <x:f>IF(AND(I$3&lt;=$F38,I$3+6&gt;=$E38),"■","")</x:f>
      </x:c>
      <x:c r="J38" s="36" t="str">
        <x:f>IF(AND(J$3&lt;=$F38,J$3+6&gt;=$E38),"■","")</x:f>
      </x:c>
      <x:c r="K38" s="36" t="str">
        <x:f>IF(AND(K$3&lt;=$F38,K$3+6&gt;=$E38),"■","")</x:f>
      </x:c>
      <x:c r="L38" s="36" t="str">
        <x:f>IF(AND(L$3&lt;=$F38,L$3+6&gt;=$E38),"■","")</x:f>
      </x:c>
      <x:c r="M38" s="36" t="str">
        <x:f>IF(AND(M$3&lt;=$F38,M$3+6&gt;=$E38),"■","")</x:f>
      </x:c>
      <x:c r="N38" s="36" t="str">
        <x:f>IF(AND(N$3&lt;=$F38,N$3+6&gt;=$E38),"■","")</x:f>
      </x:c>
      <x:c r="O38" s="36" t="str">
        <x:f>IF(AND(O$3&lt;=$F38,O$3+6&gt;=$E38),"■","")</x:f>
      </x:c>
      <x:c r="P38" s="36" t="str">
        <x:f>IF(AND(P$3&lt;=$F38,P$3+6&gt;=$E38),"■","")</x:f>
      </x:c>
      <x:c r="Q38" s="36" t="str">
        <x:f>IF(AND(Q$3&lt;=$F38,Q$3+6&gt;=$E38),"■","")</x:f>
      </x:c>
      <x:c r="R38" s="36" t="str">
        <x:f>IF(AND(R$3&lt;=$F38,R$3+6&gt;=$E38),"■","")</x:f>
      </x:c>
      <x:c r="S38" s="36" t="str">
        <x:f>IF(AND(S$3&lt;=$F38,S$3+6&gt;=$E38),"■","")</x:f>
      </x:c>
      <x:c r="T38" s="36" t="str">
        <x:f>IF(AND(T$3&lt;=$F38,T$3+6&gt;=$E38),"■","")</x:f>
      </x:c>
      <x:c r="U38" s="36" t="str">
        <x:f>IF(AND(U$3&lt;=$F38,U$3+6&gt;=$E38),"■","")</x:f>
        <x:v>■</x:v>
      </x:c>
      <x:c r="V38" s="36" t="str">
        <x:f>IF(AND(V$3&lt;=$F38,V$3+6&gt;=$E38),"■","")</x:f>
        <x:v>■</x:v>
      </x:c>
      <x:c r="W38" s="36" t="str">
        <x:f>IF(AND(W$3&lt;=$F38,W$3+6&gt;=$E38),"■","")</x:f>
        <x:v>■</x:v>
      </x:c>
      <x:c r="X38" s="36" t="str">
        <x:f>IF(AND(X$3&lt;=$F38,X$3+6&gt;=$E38),"■","")</x:f>
      </x:c>
      <x:c r="Y38" s="36" t="str">
        <x:f>IF(AND(Y$3&lt;=$F38,Y$3+6&gt;=$E38),"■","")</x:f>
      </x:c>
      <x:c r="Z38" s="36" t="str">
        <x:f>IF(AND(Z$3&lt;=$F38,Z$3+6&gt;=$E38),"■","")</x:f>
      </x:c>
      <x:c r="AA38" s="36" t="str">
        <x:f>IF(AND(AA$3&lt;=$F38,AA$3+6&gt;=$E38),"■","")</x:f>
      </x:c>
      <x:c r="AB38" s="36" t="str">
        <x:f>IF(AND(AB$3&lt;=$F38,AB$3+6&gt;=$E38),"■","")</x:f>
      </x:c>
      <x:c r="AC38" s="36" t="str">
        <x:f>IF(AND(AC$3&lt;=$F38,AC$3+6&gt;=$E38),"■","")</x:f>
      </x:c>
      <x:c r="AD38" s="36" t="str">
        <x:f>IF(AND(AD$3&lt;=$F38,AD$3+6&gt;=$E38),"■","")</x:f>
      </x:c>
      <x:c r="AE38" s="36" t="str">
        <x:f>IF(AND(AE$3&lt;=$F38,AE$3+6&gt;=$E38),"■","")</x:f>
      </x:c>
      <x:c r="AF38" s="36" t="str">
        <x:f>IF(AND(AF$3&lt;=$F38,AF$3+6&gt;=$E38),"■","")</x:f>
      </x:c>
      <x:c r="AG38" s="36" t="str">
        <x:f>IF(AND(AG$3&lt;=$F38,AG$3+6&gt;=$E38),"■","")</x:f>
      </x:c>
      <x:c r="AH38" s="36" t="str">
        <x:f>IF(AND(AH$3&lt;=$F38,AH$3+6&gt;=$E38),"■","")</x:f>
      </x:c>
      <x:c r="AI38" s="36" t="str">
        <x:f>IF(AND(AI$3&lt;=$F38,AI$3+6&gt;=$E38),"■","")</x:f>
      </x:c>
      <x:c r="AJ38" s="36" t="str">
        <x:f>IF(AND(AJ$3&lt;=$F38,AJ$3+6&gt;=$E38),"■","")</x:f>
      </x:c>
      <x:c r="AK38" s="36" t="str">
        <x:f>IF(AND(AK$3&lt;=$F38,AK$3+6&gt;=$E38),"■","")</x:f>
      </x:c>
      <x:c r="AL38" s="36" t="str">
        <x:f>IF(AND(AL$3&lt;=$F38,AL$3+6&gt;=$E38),"■","")</x:f>
      </x:c>
      <x:c r="AM38" s="36" t="str">
        <x:f>IF(AND(AM$3&lt;=$F38,AM$3+6&gt;=$E38),"■","")</x:f>
      </x:c>
      <x:c r="AN38" s="36" t="str">
        <x:f>IF(AND(AN$3&lt;=$F38,AN$3+6&gt;=$E38),"■","")</x:f>
      </x:c>
      <x:c r="AO38" s="36" t="str">
        <x:f>IF(AND(AO$3&lt;=$F38,AO$3+6&gt;=$E38),"■","")</x:f>
      </x:c>
      <x:c r="AP38" s="36" t="str">
        <x:f>IF(AND(AP$3&lt;=$F38,AP$3+6&gt;=$E38),"■","")</x:f>
      </x:c>
      <x:c r="AQ38" s="36" t="str">
        <x:f>IF(AND(AQ$3&lt;=$F38,AQ$3+6&gt;=$E38),"■","")</x:f>
      </x:c>
      <x:c r="AR38" s="36" t="str">
        <x:f>IF(AND(AR$3&lt;=$F38,AR$3+6&gt;=$E38),"■","")</x:f>
      </x:c>
      <x:c r="AS38" s="36" t="str">
        <x:f>IF(AND(AS$3&lt;=$F38,AS$3+6&gt;=$E38),"■","")</x:f>
      </x:c>
    </x:row>
    <x:row r="39">
      <x:c r="A39" s="27" t="str">
        <x:v>AT-052</x:v>
      </x:c>
      <x:c r="B39" s="27" t="str">
        <x:v>5.1.2</x:v>
      </x:c>
      <x:c r="C39" s="27" t="str">
        <x:v>Test environment and data readiness</x:v>
      </x:c>
      <x:c r="D39" s="27" t="str">
        <x:v>Validation &amp; Deployment Lead</x:v>
      </x:c>
      <x:c r="E39" s="35" t="n">
        <x:v>46139</x:v>
      </x:c>
      <x:c r="F39" s="35" t="n">
        <x:v>46150</x:v>
      </x:c>
      <x:c r="G39" s="36" t="str">
        <x:f>IF(AND(G$3&lt;=$F39,G$3+6&gt;=$E39),"■","")</x:f>
      </x:c>
      <x:c r="H39" s="36" t="str">
        <x:f>IF(AND(H$3&lt;=$F39,H$3+6&gt;=$E39),"■","")</x:f>
      </x:c>
      <x:c r="I39" s="36" t="str">
        <x:f>IF(AND(I$3&lt;=$F39,I$3+6&gt;=$E39),"■","")</x:f>
      </x:c>
      <x:c r="J39" s="36" t="str">
        <x:f>IF(AND(J$3&lt;=$F39,J$3+6&gt;=$E39),"■","")</x:f>
      </x:c>
      <x:c r="K39" s="36" t="str">
        <x:f>IF(AND(K$3&lt;=$F39,K$3+6&gt;=$E39),"■","")</x:f>
      </x:c>
      <x:c r="L39" s="36" t="str">
        <x:f>IF(AND(L$3&lt;=$F39,L$3+6&gt;=$E39),"■","")</x:f>
      </x:c>
      <x:c r="M39" s="36" t="str">
        <x:f>IF(AND(M$3&lt;=$F39,M$3+6&gt;=$E39),"■","")</x:f>
      </x:c>
      <x:c r="N39" s="36" t="str">
        <x:f>IF(AND(N$3&lt;=$F39,N$3+6&gt;=$E39),"■","")</x:f>
      </x:c>
      <x:c r="O39" s="36" t="str">
        <x:f>IF(AND(O$3&lt;=$F39,O$3+6&gt;=$E39),"■","")</x:f>
      </x:c>
      <x:c r="P39" s="36" t="str">
        <x:f>IF(AND(P$3&lt;=$F39,P$3+6&gt;=$E39),"■","")</x:f>
      </x:c>
      <x:c r="Q39" s="36" t="str">
        <x:f>IF(AND(Q$3&lt;=$F39,Q$3+6&gt;=$E39),"■","")</x:f>
      </x:c>
      <x:c r="R39" s="36" t="str">
        <x:f>IF(AND(R$3&lt;=$F39,R$3+6&gt;=$E39),"■","")</x:f>
      </x:c>
      <x:c r="S39" s="36" t="str">
        <x:f>IF(AND(S$3&lt;=$F39,S$3+6&gt;=$E39),"■","")</x:f>
      </x:c>
      <x:c r="T39" s="36" t="str">
        <x:f>IF(AND(T$3&lt;=$F39,T$3+6&gt;=$E39),"■","")</x:f>
      </x:c>
      <x:c r="U39" s="36" t="str">
        <x:f>IF(AND(U$3&lt;=$F39,U$3+6&gt;=$E39),"■","")</x:f>
      </x:c>
      <x:c r="V39" s="36" t="str">
        <x:f>IF(AND(V$3&lt;=$F39,V$3+6&gt;=$E39),"■","")</x:f>
      </x:c>
      <x:c r="W39" s="36" t="str">
        <x:f>IF(AND(W$3&lt;=$F39,W$3+6&gt;=$E39),"■","")</x:f>
        <x:v>■</x:v>
      </x:c>
      <x:c r="X39" s="36" t="str">
        <x:f>IF(AND(X$3&lt;=$F39,X$3+6&gt;=$E39),"■","")</x:f>
        <x:v>■</x:v>
      </x:c>
      <x:c r="Y39" s="36" t="str">
        <x:f>IF(AND(Y$3&lt;=$F39,Y$3+6&gt;=$E39),"■","")</x:f>
      </x:c>
      <x:c r="Z39" s="36" t="str">
        <x:f>IF(AND(Z$3&lt;=$F39,Z$3+6&gt;=$E39),"■","")</x:f>
      </x:c>
      <x:c r="AA39" s="36" t="str">
        <x:f>IF(AND(AA$3&lt;=$F39,AA$3+6&gt;=$E39),"■","")</x:f>
      </x:c>
      <x:c r="AB39" s="36" t="str">
        <x:f>IF(AND(AB$3&lt;=$F39,AB$3+6&gt;=$E39),"■","")</x:f>
      </x:c>
      <x:c r="AC39" s="36" t="str">
        <x:f>IF(AND(AC$3&lt;=$F39,AC$3+6&gt;=$E39),"■","")</x:f>
      </x:c>
      <x:c r="AD39" s="36" t="str">
        <x:f>IF(AND(AD$3&lt;=$F39,AD$3+6&gt;=$E39),"■","")</x:f>
      </x:c>
      <x:c r="AE39" s="36" t="str">
        <x:f>IF(AND(AE$3&lt;=$F39,AE$3+6&gt;=$E39),"■","")</x:f>
      </x:c>
      <x:c r="AF39" s="36" t="str">
        <x:f>IF(AND(AF$3&lt;=$F39,AF$3+6&gt;=$E39),"■","")</x:f>
      </x:c>
      <x:c r="AG39" s="36" t="str">
        <x:f>IF(AND(AG$3&lt;=$F39,AG$3+6&gt;=$E39),"■","")</x:f>
      </x:c>
      <x:c r="AH39" s="36" t="str">
        <x:f>IF(AND(AH$3&lt;=$F39,AH$3+6&gt;=$E39),"■","")</x:f>
      </x:c>
      <x:c r="AI39" s="36" t="str">
        <x:f>IF(AND(AI$3&lt;=$F39,AI$3+6&gt;=$E39),"■","")</x:f>
      </x:c>
      <x:c r="AJ39" s="36" t="str">
        <x:f>IF(AND(AJ$3&lt;=$F39,AJ$3+6&gt;=$E39),"■","")</x:f>
      </x:c>
      <x:c r="AK39" s="36" t="str">
        <x:f>IF(AND(AK$3&lt;=$F39,AK$3+6&gt;=$E39),"■","")</x:f>
      </x:c>
      <x:c r="AL39" s="36" t="str">
        <x:f>IF(AND(AL$3&lt;=$F39,AL$3+6&gt;=$E39),"■","")</x:f>
      </x:c>
      <x:c r="AM39" s="36" t="str">
        <x:f>IF(AND(AM$3&lt;=$F39,AM$3+6&gt;=$E39),"■","")</x:f>
      </x:c>
      <x:c r="AN39" s="36" t="str">
        <x:f>IF(AND(AN$3&lt;=$F39,AN$3+6&gt;=$E39),"■","")</x:f>
      </x:c>
      <x:c r="AO39" s="36" t="str">
        <x:f>IF(AND(AO$3&lt;=$F39,AO$3+6&gt;=$E39),"■","")</x:f>
      </x:c>
      <x:c r="AP39" s="36" t="str">
        <x:f>IF(AND(AP$3&lt;=$F39,AP$3+6&gt;=$E39),"■","")</x:f>
      </x:c>
      <x:c r="AQ39" s="36" t="str">
        <x:f>IF(AND(AQ$3&lt;=$F39,AQ$3+6&gt;=$E39),"■","")</x:f>
      </x:c>
      <x:c r="AR39" s="36" t="str">
        <x:f>IF(AND(AR$3&lt;=$F39,AR$3+6&gt;=$E39),"■","")</x:f>
      </x:c>
      <x:c r="AS39" s="36" t="str">
        <x:f>IF(AND(AS$3&lt;=$F39,AS$3+6&gt;=$E39),"■","")</x:f>
      </x:c>
    </x:row>
    <x:row r="40">
      <x:c r="A40" s="27" t="str">
        <x:v>AT-053</x:v>
      </x:c>
      <x:c r="B40" s="27" t="str">
        <x:v>5.2.1</x:v>
      </x:c>
      <x:c r="C40" s="27" t="str">
        <x:v>System and regression testing</x:v>
      </x:c>
      <x:c r="D40" s="27" t="str">
        <x:v>Validation &amp; Deployment Lead</x:v>
      </x:c>
      <x:c r="E40" s="35" t="n">
        <x:v>46153</x:v>
      </x:c>
      <x:c r="F40" s="35" t="n">
        <x:v>46178</x:v>
      </x:c>
      <x:c r="G40" s="36" t="str">
        <x:f>IF(AND(G$3&lt;=$F40,G$3+6&gt;=$E40),"■","")</x:f>
      </x:c>
      <x:c r="H40" s="36" t="str">
        <x:f>IF(AND(H$3&lt;=$F40,H$3+6&gt;=$E40),"■","")</x:f>
      </x:c>
      <x:c r="I40" s="36" t="str">
        <x:f>IF(AND(I$3&lt;=$F40,I$3+6&gt;=$E40),"■","")</x:f>
      </x:c>
      <x:c r="J40" s="36" t="str">
        <x:f>IF(AND(J$3&lt;=$F40,J$3+6&gt;=$E40),"■","")</x:f>
      </x:c>
      <x:c r="K40" s="36" t="str">
        <x:f>IF(AND(K$3&lt;=$F40,K$3+6&gt;=$E40),"■","")</x:f>
      </x:c>
      <x:c r="L40" s="36" t="str">
        <x:f>IF(AND(L$3&lt;=$F40,L$3+6&gt;=$E40),"■","")</x:f>
      </x:c>
      <x:c r="M40" s="36" t="str">
        <x:f>IF(AND(M$3&lt;=$F40,M$3+6&gt;=$E40),"■","")</x:f>
      </x:c>
      <x:c r="N40" s="36" t="str">
        <x:f>IF(AND(N$3&lt;=$F40,N$3+6&gt;=$E40),"■","")</x:f>
      </x:c>
      <x:c r="O40" s="36" t="str">
        <x:f>IF(AND(O$3&lt;=$F40,O$3+6&gt;=$E40),"■","")</x:f>
      </x:c>
      <x:c r="P40" s="36" t="str">
        <x:f>IF(AND(P$3&lt;=$F40,P$3+6&gt;=$E40),"■","")</x:f>
      </x:c>
      <x:c r="Q40" s="36" t="str">
        <x:f>IF(AND(Q$3&lt;=$F40,Q$3+6&gt;=$E40),"■","")</x:f>
      </x:c>
      <x:c r="R40" s="36" t="str">
        <x:f>IF(AND(R$3&lt;=$F40,R$3+6&gt;=$E40),"■","")</x:f>
      </x:c>
      <x:c r="S40" s="36" t="str">
        <x:f>IF(AND(S$3&lt;=$F40,S$3+6&gt;=$E40),"■","")</x:f>
      </x:c>
      <x:c r="T40" s="36" t="str">
        <x:f>IF(AND(T$3&lt;=$F40,T$3+6&gt;=$E40),"■","")</x:f>
      </x:c>
      <x:c r="U40" s="36" t="str">
        <x:f>IF(AND(U$3&lt;=$F40,U$3+6&gt;=$E40),"■","")</x:f>
      </x:c>
      <x:c r="V40" s="36" t="str">
        <x:f>IF(AND(V$3&lt;=$F40,V$3+6&gt;=$E40),"■","")</x:f>
      </x:c>
      <x:c r="W40" s="36" t="str">
        <x:f>IF(AND(W$3&lt;=$F40,W$3+6&gt;=$E40),"■","")</x:f>
      </x:c>
      <x:c r="X40" s="36" t="str">
        <x:f>IF(AND(X$3&lt;=$F40,X$3+6&gt;=$E40),"■","")</x:f>
      </x:c>
      <x:c r="Y40" s="36" t="str">
        <x:f>IF(AND(Y$3&lt;=$F40,Y$3+6&gt;=$E40),"■","")</x:f>
        <x:v>■</x:v>
      </x:c>
      <x:c r="Z40" s="36" t="str">
        <x:f>IF(AND(Z$3&lt;=$F40,Z$3+6&gt;=$E40),"■","")</x:f>
        <x:v>■</x:v>
      </x:c>
      <x:c r="AA40" s="36" t="str">
        <x:f>IF(AND(AA$3&lt;=$F40,AA$3+6&gt;=$E40),"■","")</x:f>
        <x:v>■</x:v>
      </x:c>
      <x:c r="AB40" s="36" t="str">
        <x:f>IF(AND(AB$3&lt;=$F40,AB$3+6&gt;=$E40),"■","")</x:f>
        <x:v>■</x:v>
      </x:c>
      <x:c r="AC40" s="36" t="str">
        <x:f>IF(AND(AC$3&lt;=$F40,AC$3+6&gt;=$E40),"■","")</x:f>
      </x:c>
      <x:c r="AD40" s="36" t="str">
        <x:f>IF(AND(AD$3&lt;=$F40,AD$3+6&gt;=$E40),"■","")</x:f>
      </x:c>
      <x:c r="AE40" s="36" t="str">
        <x:f>IF(AND(AE$3&lt;=$F40,AE$3+6&gt;=$E40),"■","")</x:f>
      </x:c>
      <x:c r="AF40" s="36" t="str">
        <x:f>IF(AND(AF$3&lt;=$F40,AF$3+6&gt;=$E40),"■","")</x:f>
      </x:c>
      <x:c r="AG40" s="36" t="str">
        <x:f>IF(AND(AG$3&lt;=$F40,AG$3+6&gt;=$E40),"■","")</x:f>
      </x:c>
      <x:c r="AH40" s="36" t="str">
        <x:f>IF(AND(AH$3&lt;=$F40,AH$3+6&gt;=$E40),"■","")</x:f>
      </x:c>
      <x:c r="AI40" s="36" t="str">
        <x:f>IF(AND(AI$3&lt;=$F40,AI$3+6&gt;=$E40),"■","")</x:f>
      </x:c>
      <x:c r="AJ40" s="36" t="str">
        <x:f>IF(AND(AJ$3&lt;=$F40,AJ$3+6&gt;=$E40),"■","")</x:f>
      </x:c>
      <x:c r="AK40" s="36" t="str">
        <x:f>IF(AND(AK$3&lt;=$F40,AK$3+6&gt;=$E40),"■","")</x:f>
      </x:c>
      <x:c r="AL40" s="36" t="str">
        <x:f>IF(AND(AL$3&lt;=$F40,AL$3+6&gt;=$E40),"■","")</x:f>
      </x:c>
      <x:c r="AM40" s="36" t="str">
        <x:f>IF(AND(AM$3&lt;=$F40,AM$3+6&gt;=$E40),"■","")</x:f>
      </x:c>
      <x:c r="AN40" s="36" t="str">
        <x:f>IF(AND(AN$3&lt;=$F40,AN$3+6&gt;=$E40),"■","")</x:f>
      </x:c>
      <x:c r="AO40" s="36" t="str">
        <x:f>IF(AND(AO$3&lt;=$F40,AO$3+6&gt;=$E40),"■","")</x:f>
      </x:c>
      <x:c r="AP40" s="36" t="str">
        <x:f>IF(AND(AP$3&lt;=$F40,AP$3+6&gt;=$E40),"■","")</x:f>
      </x:c>
      <x:c r="AQ40" s="36" t="str">
        <x:f>IF(AND(AQ$3&lt;=$F40,AQ$3+6&gt;=$E40),"■","")</x:f>
      </x:c>
      <x:c r="AR40" s="36" t="str">
        <x:f>IF(AND(AR$3&lt;=$F40,AR$3+6&gt;=$E40),"■","")</x:f>
      </x:c>
      <x:c r="AS40" s="36" t="str">
        <x:f>IF(AND(AS$3&lt;=$F40,AS$3+6&gt;=$E40),"■","")</x:f>
      </x:c>
    </x:row>
    <x:row r="41">
      <x:c r="A41" s="27" t="str">
        <x:v>AT-054</x:v>
      </x:c>
      <x:c r="B41" s="27" t="str">
        <x:v>5.2.2</x:v>
      </x:c>
      <x:c r="C41" s="27" t="str">
        <x:v>Integration testing</x:v>
      </x:c>
      <x:c r="D41" s="27" t="str">
        <x:v>Validation &amp; Deployment Lead</x:v>
      </x:c>
      <x:c r="E41" s="35" t="n">
        <x:v>46160</x:v>
      </x:c>
      <x:c r="F41" s="35" t="n">
        <x:v>46185</x:v>
      </x:c>
      <x:c r="G41" s="36" t="str">
        <x:f>IF(AND(G$3&lt;=$F41,G$3+6&gt;=$E41),"■","")</x:f>
      </x:c>
      <x:c r="H41" s="36" t="str">
        <x:f>IF(AND(H$3&lt;=$F41,H$3+6&gt;=$E41),"■","")</x:f>
      </x:c>
      <x:c r="I41" s="36" t="str">
        <x:f>IF(AND(I$3&lt;=$F41,I$3+6&gt;=$E41),"■","")</x:f>
      </x:c>
      <x:c r="J41" s="36" t="str">
        <x:f>IF(AND(J$3&lt;=$F41,J$3+6&gt;=$E41),"■","")</x:f>
      </x:c>
      <x:c r="K41" s="36" t="str">
        <x:f>IF(AND(K$3&lt;=$F41,K$3+6&gt;=$E41),"■","")</x:f>
      </x:c>
      <x:c r="L41" s="36" t="str">
        <x:f>IF(AND(L$3&lt;=$F41,L$3+6&gt;=$E41),"■","")</x:f>
      </x:c>
      <x:c r="M41" s="36" t="str">
        <x:f>IF(AND(M$3&lt;=$F41,M$3+6&gt;=$E41),"■","")</x:f>
      </x:c>
      <x:c r="N41" s="36" t="str">
        <x:f>IF(AND(N$3&lt;=$F41,N$3+6&gt;=$E41),"■","")</x:f>
      </x:c>
      <x:c r="O41" s="36" t="str">
        <x:f>IF(AND(O$3&lt;=$F41,O$3+6&gt;=$E41),"■","")</x:f>
      </x:c>
      <x:c r="P41" s="36" t="str">
        <x:f>IF(AND(P$3&lt;=$F41,P$3+6&gt;=$E41),"■","")</x:f>
      </x:c>
      <x:c r="Q41" s="36" t="str">
        <x:f>IF(AND(Q$3&lt;=$F41,Q$3+6&gt;=$E41),"■","")</x:f>
      </x:c>
      <x:c r="R41" s="36" t="str">
        <x:f>IF(AND(R$3&lt;=$F41,R$3+6&gt;=$E41),"■","")</x:f>
      </x:c>
      <x:c r="S41" s="36" t="str">
        <x:f>IF(AND(S$3&lt;=$F41,S$3+6&gt;=$E41),"■","")</x:f>
      </x:c>
      <x:c r="T41" s="36" t="str">
        <x:f>IF(AND(T$3&lt;=$F41,T$3+6&gt;=$E41),"■","")</x:f>
      </x:c>
      <x:c r="U41" s="36" t="str">
        <x:f>IF(AND(U$3&lt;=$F41,U$3+6&gt;=$E41),"■","")</x:f>
      </x:c>
      <x:c r="V41" s="36" t="str">
        <x:f>IF(AND(V$3&lt;=$F41,V$3+6&gt;=$E41),"■","")</x:f>
      </x:c>
      <x:c r="W41" s="36" t="str">
        <x:f>IF(AND(W$3&lt;=$F41,W$3+6&gt;=$E41),"■","")</x:f>
      </x:c>
      <x:c r="X41" s="36" t="str">
        <x:f>IF(AND(X$3&lt;=$F41,X$3+6&gt;=$E41),"■","")</x:f>
      </x:c>
      <x:c r="Y41" s="36" t="str">
        <x:f>IF(AND(Y$3&lt;=$F41,Y$3+6&gt;=$E41),"■","")</x:f>
      </x:c>
      <x:c r="Z41" s="36" t="str">
        <x:f>IF(AND(Z$3&lt;=$F41,Z$3+6&gt;=$E41),"■","")</x:f>
        <x:v>■</x:v>
      </x:c>
      <x:c r="AA41" s="36" t="str">
        <x:f>IF(AND(AA$3&lt;=$F41,AA$3+6&gt;=$E41),"■","")</x:f>
        <x:v>■</x:v>
      </x:c>
      <x:c r="AB41" s="36" t="str">
        <x:f>IF(AND(AB$3&lt;=$F41,AB$3+6&gt;=$E41),"■","")</x:f>
        <x:v>■</x:v>
      </x:c>
      <x:c r="AC41" s="36" t="str">
        <x:f>IF(AND(AC$3&lt;=$F41,AC$3+6&gt;=$E41),"■","")</x:f>
        <x:v>■</x:v>
      </x:c>
      <x:c r="AD41" s="36" t="str">
        <x:f>IF(AND(AD$3&lt;=$F41,AD$3+6&gt;=$E41),"■","")</x:f>
      </x:c>
      <x:c r="AE41" s="36" t="str">
        <x:f>IF(AND(AE$3&lt;=$F41,AE$3+6&gt;=$E41),"■","")</x:f>
      </x:c>
      <x:c r="AF41" s="36" t="str">
        <x:f>IF(AND(AF$3&lt;=$F41,AF$3+6&gt;=$E41),"■","")</x:f>
      </x:c>
      <x:c r="AG41" s="36" t="str">
        <x:f>IF(AND(AG$3&lt;=$F41,AG$3+6&gt;=$E41),"■","")</x:f>
      </x:c>
      <x:c r="AH41" s="36" t="str">
        <x:f>IF(AND(AH$3&lt;=$F41,AH$3+6&gt;=$E41),"■","")</x:f>
      </x:c>
      <x:c r="AI41" s="36" t="str">
        <x:f>IF(AND(AI$3&lt;=$F41,AI$3+6&gt;=$E41),"■","")</x:f>
      </x:c>
      <x:c r="AJ41" s="36" t="str">
        <x:f>IF(AND(AJ$3&lt;=$F41,AJ$3+6&gt;=$E41),"■","")</x:f>
      </x:c>
      <x:c r="AK41" s="36" t="str">
        <x:f>IF(AND(AK$3&lt;=$F41,AK$3+6&gt;=$E41),"■","")</x:f>
      </x:c>
      <x:c r="AL41" s="36" t="str">
        <x:f>IF(AND(AL$3&lt;=$F41,AL$3+6&gt;=$E41),"■","")</x:f>
      </x:c>
      <x:c r="AM41" s="36" t="str">
        <x:f>IF(AND(AM$3&lt;=$F41,AM$3+6&gt;=$E41),"■","")</x:f>
      </x:c>
      <x:c r="AN41" s="36" t="str">
        <x:f>IF(AND(AN$3&lt;=$F41,AN$3+6&gt;=$E41),"■","")</x:f>
      </x:c>
      <x:c r="AO41" s="36" t="str">
        <x:f>IF(AND(AO$3&lt;=$F41,AO$3+6&gt;=$E41),"■","")</x:f>
      </x:c>
      <x:c r="AP41" s="36" t="str">
        <x:f>IF(AND(AP$3&lt;=$F41,AP$3+6&gt;=$E41),"■","")</x:f>
      </x:c>
      <x:c r="AQ41" s="36" t="str">
        <x:f>IF(AND(AQ$3&lt;=$F41,AQ$3+6&gt;=$E41),"■","")</x:f>
      </x:c>
      <x:c r="AR41" s="36" t="str">
        <x:f>IF(AND(AR$3&lt;=$F41,AR$3+6&gt;=$E41),"■","")</x:f>
      </x:c>
      <x:c r="AS41" s="36" t="str">
        <x:f>IF(AND(AS$3&lt;=$F41,AS$3+6&gt;=$E41),"■","")</x:f>
      </x:c>
    </x:row>
    <x:row r="42">
      <x:c r="A42" s="27" t="str">
        <x:v>AT-055</x:v>
      </x:c>
      <x:c r="B42" s="27" t="str">
        <x:v>5.2.3</x:v>
      </x:c>
      <x:c r="C42" s="27" t="str">
        <x:v>Performance testing</x:v>
      </x:c>
      <x:c r="D42" s="27" t="str">
        <x:v>Validation &amp; Deployment Lead</x:v>
      </x:c>
      <x:c r="E42" s="35" t="n">
        <x:v>46181</x:v>
      </x:c>
      <x:c r="F42" s="35" t="n">
        <x:v>46192</x:v>
      </x:c>
      <x:c r="G42" s="36" t="str">
        <x:f>IF(AND(G$3&lt;=$F42,G$3+6&gt;=$E42),"■","")</x:f>
      </x:c>
      <x:c r="H42" s="36" t="str">
        <x:f>IF(AND(H$3&lt;=$F42,H$3+6&gt;=$E42),"■","")</x:f>
      </x:c>
      <x:c r="I42" s="36" t="str">
        <x:f>IF(AND(I$3&lt;=$F42,I$3+6&gt;=$E42),"■","")</x:f>
      </x:c>
      <x:c r="J42" s="36" t="str">
        <x:f>IF(AND(J$3&lt;=$F42,J$3+6&gt;=$E42),"■","")</x:f>
      </x:c>
      <x:c r="K42" s="36" t="str">
        <x:f>IF(AND(K$3&lt;=$F42,K$3+6&gt;=$E42),"■","")</x:f>
      </x:c>
      <x:c r="L42" s="36" t="str">
        <x:f>IF(AND(L$3&lt;=$F42,L$3+6&gt;=$E42),"■","")</x:f>
      </x:c>
      <x:c r="M42" s="36" t="str">
        <x:f>IF(AND(M$3&lt;=$F42,M$3+6&gt;=$E42),"■","")</x:f>
      </x:c>
      <x:c r="N42" s="36" t="str">
        <x:f>IF(AND(N$3&lt;=$F42,N$3+6&gt;=$E42),"■","")</x:f>
      </x:c>
      <x:c r="O42" s="36" t="str">
        <x:f>IF(AND(O$3&lt;=$F42,O$3+6&gt;=$E42),"■","")</x:f>
      </x:c>
      <x:c r="P42" s="36" t="str">
        <x:f>IF(AND(P$3&lt;=$F42,P$3+6&gt;=$E42),"■","")</x:f>
      </x:c>
      <x:c r="Q42" s="36" t="str">
        <x:f>IF(AND(Q$3&lt;=$F42,Q$3+6&gt;=$E42),"■","")</x:f>
      </x:c>
      <x:c r="R42" s="36" t="str">
        <x:f>IF(AND(R$3&lt;=$F42,R$3+6&gt;=$E42),"■","")</x:f>
      </x:c>
      <x:c r="S42" s="36" t="str">
        <x:f>IF(AND(S$3&lt;=$F42,S$3+6&gt;=$E42),"■","")</x:f>
      </x:c>
      <x:c r="T42" s="36" t="str">
        <x:f>IF(AND(T$3&lt;=$F42,T$3+6&gt;=$E42),"■","")</x:f>
      </x:c>
      <x:c r="U42" s="36" t="str">
        <x:f>IF(AND(U$3&lt;=$F42,U$3+6&gt;=$E42),"■","")</x:f>
      </x:c>
      <x:c r="V42" s="36" t="str">
        <x:f>IF(AND(V$3&lt;=$F42,V$3+6&gt;=$E42),"■","")</x:f>
      </x:c>
      <x:c r="W42" s="36" t="str">
        <x:f>IF(AND(W$3&lt;=$F42,W$3+6&gt;=$E42),"■","")</x:f>
      </x:c>
      <x:c r="X42" s="36" t="str">
        <x:f>IF(AND(X$3&lt;=$F42,X$3+6&gt;=$E42),"■","")</x:f>
      </x:c>
      <x:c r="Y42" s="36" t="str">
        <x:f>IF(AND(Y$3&lt;=$F42,Y$3+6&gt;=$E42),"■","")</x:f>
      </x:c>
      <x:c r="Z42" s="36" t="str">
        <x:f>IF(AND(Z$3&lt;=$F42,Z$3+6&gt;=$E42),"■","")</x:f>
      </x:c>
      <x:c r="AA42" s="36" t="str">
        <x:f>IF(AND(AA$3&lt;=$F42,AA$3+6&gt;=$E42),"■","")</x:f>
      </x:c>
      <x:c r="AB42" s="36" t="str">
        <x:f>IF(AND(AB$3&lt;=$F42,AB$3+6&gt;=$E42),"■","")</x:f>
      </x:c>
      <x:c r="AC42" s="36" t="str">
        <x:f>IF(AND(AC$3&lt;=$F42,AC$3+6&gt;=$E42),"■","")</x:f>
        <x:v>■</x:v>
      </x:c>
      <x:c r="AD42" s="36" t="str">
        <x:f>IF(AND(AD$3&lt;=$F42,AD$3+6&gt;=$E42),"■","")</x:f>
        <x:v>■</x:v>
      </x:c>
      <x:c r="AE42" s="36" t="str">
        <x:f>IF(AND(AE$3&lt;=$F42,AE$3+6&gt;=$E42),"■","")</x:f>
      </x:c>
      <x:c r="AF42" s="36" t="str">
        <x:f>IF(AND(AF$3&lt;=$F42,AF$3+6&gt;=$E42),"■","")</x:f>
      </x:c>
      <x:c r="AG42" s="36" t="str">
        <x:f>IF(AND(AG$3&lt;=$F42,AG$3+6&gt;=$E42),"■","")</x:f>
      </x:c>
      <x:c r="AH42" s="36" t="str">
        <x:f>IF(AND(AH$3&lt;=$F42,AH$3+6&gt;=$E42),"■","")</x:f>
      </x:c>
      <x:c r="AI42" s="36" t="str">
        <x:f>IF(AND(AI$3&lt;=$F42,AI$3+6&gt;=$E42),"■","")</x:f>
      </x:c>
      <x:c r="AJ42" s="36" t="str">
        <x:f>IF(AND(AJ$3&lt;=$F42,AJ$3+6&gt;=$E42),"■","")</x:f>
      </x:c>
      <x:c r="AK42" s="36" t="str">
        <x:f>IF(AND(AK$3&lt;=$F42,AK$3+6&gt;=$E42),"■","")</x:f>
      </x:c>
      <x:c r="AL42" s="36" t="str">
        <x:f>IF(AND(AL$3&lt;=$F42,AL$3+6&gt;=$E42),"■","")</x:f>
      </x:c>
      <x:c r="AM42" s="36" t="str">
        <x:f>IF(AND(AM$3&lt;=$F42,AM$3+6&gt;=$E42),"■","")</x:f>
      </x:c>
      <x:c r="AN42" s="36" t="str">
        <x:f>IF(AND(AN$3&lt;=$F42,AN$3+6&gt;=$E42),"■","")</x:f>
      </x:c>
      <x:c r="AO42" s="36" t="str">
        <x:f>IF(AND(AO$3&lt;=$F42,AO$3+6&gt;=$E42),"■","")</x:f>
      </x:c>
      <x:c r="AP42" s="36" t="str">
        <x:f>IF(AND(AP$3&lt;=$F42,AP$3+6&gt;=$E42),"■","")</x:f>
      </x:c>
      <x:c r="AQ42" s="36" t="str">
        <x:f>IF(AND(AQ$3&lt;=$F42,AQ$3+6&gt;=$E42),"■","")</x:f>
      </x:c>
      <x:c r="AR42" s="36" t="str">
        <x:f>IF(AND(AR$3&lt;=$F42,AR$3+6&gt;=$E42),"■","")</x:f>
      </x:c>
      <x:c r="AS42" s="36" t="str">
        <x:f>IF(AND(AS$3&lt;=$F42,AS$3+6&gt;=$E42),"■","")</x:f>
      </x:c>
    </x:row>
    <x:row r="43">
      <x:c r="A43" s="27" t="str">
        <x:v>AT-056</x:v>
      </x:c>
      <x:c r="B43" s="27" t="str">
        <x:v>5.2.4</x:v>
      </x:c>
      <x:c r="C43" s="27" t="str">
        <x:v>Security assessment</x:v>
      </x:c>
      <x:c r="D43" s="27" t="str">
        <x:v>Validation &amp; Deployment Lead</x:v>
      </x:c>
      <x:c r="E43" s="35" t="n">
        <x:v>46181</x:v>
      </x:c>
      <x:c r="F43" s="35" t="n">
        <x:v>46192</x:v>
      </x:c>
      <x:c r="G43" s="36" t="str">
        <x:f>IF(AND(G$3&lt;=$F43,G$3+6&gt;=$E43),"■","")</x:f>
      </x:c>
      <x:c r="H43" s="36" t="str">
        <x:f>IF(AND(H$3&lt;=$F43,H$3+6&gt;=$E43),"■","")</x:f>
      </x:c>
      <x:c r="I43" s="36" t="str">
        <x:f>IF(AND(I$3&lt;=$F43,I$3+6&gt;=$E43),"■","")</x:f>
      </x:c>
      <x:c r="J43" s="36" t="str">
        <x:f>IF(AND(J$3&lt;=$F43,J$3+6&gt;=$E43),"■","")</x:f>
      </x:c>
      <x:c r="K43" s="36" t="str">
        <x:f>IF(AND(K$3&lt;=$F43,K$3+6&gt;=$E43),"■","")</x:f>
      </x:c>
      <x:c r="L43" s="36" t="str">
        <x:f>IF(AND(L$3&lt;=$F43,L$3+6&gt;=$E43),"■","")</x:f>
      </x:c>
      <x:c r="M43" s="36" t="str">
        <x:f>IF(AND(M$3&lt;=$F43,M$3+6&gt;=$E43),"■","")</x:f>
      </x:c>
      <x:c r="N43" s="36" t="str">
        <x:f>IF(AND(N$3&lt;=$F43,N$3+6&gt;=$E43),"■","")</x:f>
      </x:c>
      <x:c r="O43" s="36" t="str">
        <x:f>IF(AND(O$3&lt;=$F43,O$3+6&gt;=$E43),"■","")</x:f>
      </x:c>
      <x:c r="P43" s="36" t="str">
        <x:f>IF(AND(P$3&lt;=$F43,P$3+6&gt;=$E43),"■","")</x:f>
      </x:c>
      <x:c r="Q43" s="36" t="str">
        <x:f>IF(AND(Q$3&lt;=$F43,Q$3+6&gt;=$E43),"■","")</x:f>
      </x:c>
      <x:c r="R43" s="36" t="str">
        <x:f>IF(AND(R$3&lt;=$F43,R$3+6&gt;=$E43),"■","")</x:f>
      </x:c>
      <x:c r="S43" s="36" t="str">
        <x:f>IF(AND(S$3&lt;=$F43,S$3+6&gt;=$E43),"■","")</x:f>
      </x:c>
      <x:c r="T43" s="36" t="str">
        <x:f>IF(AND(T$3&lt;=$F43,T$3+6&gt;=$E43),"■","")</x:f>
      </x:c>
      <x:c r="U43" s="36" t="str">
        <x:f>IF(AND(U$3&lt;=$F43,U$3+6&gt;=$E43),"■","")</x:f>
      </x:c>
      <x:c r="V43" s="36" t="str">
        <x:f>IF(AND(V$3&lt;=$F43,V$3+6&gt;=$E43),"■","")</x:f>
      </x:c>
      <x:c r="W43" s="36" t="str">
        <x:f>IF(AND(W$3&lt;=$F43,W$3+6&gt;=$E43),"■","")</x:f>
      </x:c>
      <x:c r="X43" s="36" t="str">
        <x:f>IF(AND(X$3&lt;=$F43,X$3+6&gt;=$E43),"■","")</x:f>
      </x:c>
      <x:c r="Y43" s="36" t="str">
        <x:f>IF(AND(Y$3&lt;=$F43,Y$3+6&gt;=$E43),"■","")</x:f>
      </x:c>
      <x:c r="Z43" s="36" t="str">
        <x:f>IF(AND(Z$3&lt;=$F43,Z$3+6&gt;=$E43),"■","")</x:f>
      </x:c>
      <x:c r="AA43" s="36" t="str">
        <x:f>IF(AND(AA$3&lt;=$F43,AA$3+6&gt;=$E43),"■","")</x:f>
      </x:c>
      <x:c r="AB43" s="36" t="str">
        <x:f>IF(AND(AB$3&lt;=$F43,AB$3+6&gt;=$E43),"■","")</x:f>
      </x:c>
      <x:c r="AC43" s="36" t="str">
        <x:f>IF(AND(AC$3&lt;=$F43,AC$3+6&gt;=$E43),"■","")</x:f>
        <x:v>■</x:v>
      </x:c>
      <x:c r="AD43" s="36" t="str">
        <x:f>IF(AND(AD$3&lt;=$F43,AD$3+6&gt;=$E43),"■","")</x:f>
        <x:v>■</x:v>
      </x:c>
      <x:c r="AE43" s="36" t="str">
        <x:f>IF(AND(AE$3&lt;=$F43,AE$3+6&gt;=$E43),"■","")</x:f>
      </x:c>
      <x:c r="AF43" s="36" t="str">
        <x:f>IF(AND(AF$3&lt;=$F43,AF$3+6&gt;=$E43),"■","")</x:f>
      </x:c>
      <x:c r="AG43" s="36" t="str">
        <x:f>IF(AND(AG$3&lt;=$F43,AG$3+6&gt;=$E43),"■","")</x:f>
      </x:c>
      <x:c r="AH43" s="36" t="str">
        <x:f>IF(AND(AH$3&lt;=$F43,AH$3+6&gt;=$E43),"■","")</x:f>
      </x:c>
      <x:c r="AI43" s="36" t="str">
        <x:f>IF(AND(AI$3&lt;=$F43,AI$3+6&gt;=$E43),"■","")</x:f>
      </x:c>
      <x:c r="AJ43" s="36" t="str">
        <x:f>IF(AND(AJ$3&lt;=$F43,AJ$3+6&gt;=$E43),"■","")</x:f>
      </x:c>
      <x:c r="AK43" s="36" t="str">
        <x:f>IF(AND(AK$3&lt;=$F43,AK$3+6&gt;=$E43),"■","")</x:f>
      </x:c>
      <x:c r="AL43" s="36" t="str">
        <x:f>IF(AND(AL$3&lt;=$F43,AL$3+6&gt;=$E43),"■","")</x:f>
      </x:c>
      <x:c r="AM43" s="36" t="str">
        <x:f>IF(AND(AM$3&lt;=$F43,AM$3+6&gt;=$E43),"■","")</x:f>
      </x:c>
      <x:c r="AN43" s="36" t="str">
        <x:f>IF(AND(AN$3&lt;=$F43,AN$3+6&gt;=$E43),"■","")</x:f>
      </x:c>
      <x:c r="AO43" s="36" t="str">
        <x:f>IF(AND(AO$3&lt;=$F43,AO$3+6&gt;=$E43),"■","")</x:f>
      </x:c>
      <x:c r="AP43" s="36" t="str">
        <x:f>IF(AND(AP$3&lt;=$F43,AP$3+6&gt;=$E43),"■","")</x:f>
      </x:c>
      <x:c r="AQ43" s="36" t="str">
        <x:f>IF(AND(AQ$3&lt;=$F43,AQ$3+6&gt;=$E43),"■","")</x:f>
      </x:c>
      <x:c r="AR43" s="36" t="str">
        <x:f>IF(AND(AR$3&lt;=$F43,AR$3+6&gt;=$E43),"■","")</x:f>
      </x:c>
      <x:c r="AS43" s="36" t="str">
        <x:f>IF(AND(AS$3&lt;=$F43,AS$3+6&gt;=$E43),"■","")</x:f>
      </x:c>
    </x:row>
    <x:row r="44">
      <x:c r="A44" s="27" t="str">
        <x:v>AT-057</x:v>
      </x:c>
      <x:c r="B44" s="27" t="str">
        <x:v>5.2</x:v>
      </x:c>
      <x:c r="C44" s="27" t="str">
        <x:v>Technical testing complete</x:v>
      </x:c>
      <x:c r="D44" s="27" t="str">
        <x:v>Technology Lead</x:v>
      </x:c>
      <x:c r="E44" s="35" t="n">
        <x:v>46192</x:v>
      </x:c>
      <x:c r="F44" s="35" t="n">
        <x:v>46192</x:v>
      </x:c>
      <x:c r="G44" s="36" t="str">
        <x:f>IF(AND(G$3&lt;=$F44,G$3+6&gt;=$E44),"■","")</x:f>
      </x:c>
      <x:c r="H44" s="36" t="str">
        <x:f>IF(AND(H$3&lt;=$F44,H$3+6&gt;=$E44),"■","")</x:f>
      </x:c>
      <x:c r="I44" s="36" t="str">
        <x:f>IF(AND(I$3&lt;=$F44,I$3+6&gt;=$E44),"■","")</x:f>
      </x:c>
      <x:c r="J44" s="36" t="str">
        <x:f>IF(AND(J$3&lt;=$F44,J$3+6&gt;=$E44),"■","")</x:f>
      </x:c>
      <x:c r="K44" s="36" t="str">
        <x:f>IF(AND(K$3&lt;=$F44,K$3+6&gt;=$E44),"■","")</x:f>
      </x:c>
      <x:c r="L44" s="36" t="str">
        <x:f>IF(AND(L$3&lt;=$F44,L$3+6&gt;=$E44),"■","")</x:f>
      </x:c>
      <x:c r="M44" s="36" t="str">
        <x:f>IF(AND(M$3&lt;=$F44,M$3+6&gt;=$E44),"■","")</x:f>
      </x:c>
      <x:c r="N44" s="36" t="str">
        <x:f>IF(AND(N$3&lt;=$F44,N$3+6&gt;=$E44),"■","")</x:f>
      </x:c>
      <x:c r="O44" s="36" t="str">
        <x:f>IF(AND(O$3&lt;=$F44,O$3+6&gt;=$E44),"■","")</x:f>
      </x:c>
      <x:c r="P44" s="36" t="str">
        <x:f>IF(AND(P$3&lt;=$F44,P$3+6&gt;=$E44),"■","")</x:f>
      </x:c>
      <x:c r="Q44" s="36" t="str">
        <x:f>IF(AND(Q$3&lt;=$F44,Q$3+6&gt;=$E44),"■","")</x:f>
      </x:c>
      <x:c r="R44" s="36" t="str">
        <x:f>IF(AND(R$3&lt;=$F44,R$3+6&gt;=$E44),"■","")</x:f>
      </x:c>
      <x:c r="S44" s="36" t="str">
        <x:f>IF(AND(S$3&lt;=$F44,S$3+6&gt;=$E44),"■","")</x:f>
      </x:c>
      <x:c r="T44" s="36" t="str">
        <x:f>IF(AND(T$3&lt;=$F44,T$3+6&gt;=$E44),"■","")</x:f>
      </x:c>
      <x:c r="U44" s="36" t="str">
        <x:f>IF(AND(U$3&lt;=$F44,U$3+6&gt;=$E44),"■","")</x:f>
      </x:c>
      <x:c r="V44" s="36" t="str">
        <x:f>IF(AND(V$3&lt;=$F44,V$3+6&gt;=$E44),"■","")</x:f>
      </x:c>
      <x:c r="W44" s="36" t="str">
        <x:f>IF(AND(W$3&lt;=$F44,W$3+6&gt;=$E44),"■","")</x:f>
      </x:c>
      <x:c r="X44" s="36" t="str">
        <x:f>IF(AND(X$3&lt;=$F44,X$3+6&gt;=$E44),"■","")</x:f>
      </x:c>
      <x:c r="Y44" s="36" t="str">
        <x:f>IF(AND(Y$3&lt;=$F44,Y$3+6&gt;=$E44),"■","")</x:f>
      </x:c>
      <x:c r="Z44" s="36" t="str">
        <x:f>IF(AND(Z$3&lt;=$F44,Z$3+6&gt;=$E44),"■","")</x:f>
      </x:c>
      <x:c r="AA44" s="36" t="str">
        <x:f>IF(AND(AA$3&lt;=$F44,AA$3+6&gt;=$E44),"■","")</x:f>
      </x:c>
      <x:c r="AB44" s="36" t="str">
        <x:f>IF(AND(AB$3&lt;=$F44,AB$3+6&gt;=$E44),"■","")</x:f>
      </x:c>
      <x:c r="AC44" s="36" t="str">
        <x:f>IF(AND(AC$3&lt;=$F44,AC$3+6&gt;=$E44),"■","")</x:f>
      </x:c>
      <x:c r="AD44" s="36" t="str">
        <x:f>IF(AND(AD$3&lt;=$F44,AD$3+6&gt;=$E44),"■","")</x:f>
        <x:v>■</x:v>
      </x:c>
      <x:c r="AE44" s="36" t="str">
        <x:f>IF(AND(AE$3&lt;=$F44,AE$3+6&gt;=$E44),"■","")</x:f>
      </x:c>
      <x:c r="AF44" s="36" t="str">
        <x:f>IF(AND(AF$3&lt;=$F44,AF$3+6&gt;=$E44),"■","")</x:f>
      </x:c>
      <x:c r="AG44" s="36" t="str">
        <x:f>IF(AND(AG$3&lt;=$F44,AG$3+6&gt;=$E44),"■","")</x:f>
      </x:c>
      <x:c r="AH44" s="36" t="str">
        <x:f>IF(AND(AH$3&lt;=$F44,AH$3+6&gt;=$E44),"■","")</x:f>
      </x:c>
      <x:c r="AI44" s="36" t="str">
        <x:f>IF(AND(AI$3&lt;=$F44,AI$3+6&gt;=$E44),"■","")</x:f>
      </x:c>
      <x:c r="AJ44" s="36" t="str">
        <x:f>IF(AND(AJ$3&lt;=$F44,AJ$3+6&gt;=$E44),"■","")</x:f>
      </x:c>
      <x:c r="AK44" s="36" t="str">
        <x:f>IF(AND(AK$3&lt;=$F44,AK$3+6&gt;=$E44),"■","")</x:f>
      </x:c>
      <x:c r="AL44" s="36" t="str">
        <x:f>IF(AND(AL$3&lt;=$F44,AL$3+6&gt;=$E44),"■","")</x:f>
      </x:c>
      <x:c r="AM44" s="36" t="str">
        <x:f>IF(AND(AM$3&lt;=$F44,AM$3+6&gt;=$E44),"■","")</x:f>
      </x:c>
      <x:c r="AN44" s="36" t="str">
        <x:f>IF(AND(AN$3&lt;=$F44,AN$3+6&gt;=$E44),"■","")</x:f>
      </x:c>
      <x:c r="AO44" s="36" t="str">
        <x:f>IF(AND(AO$3&lt;=$F44,AO$3+6&gt;=$E44),"■","")</x:f>
      </x:c>
      <x:c r="AP44" s="36" t="str">
        <x:f>IF(AND(AP$3&lt;=$F44,AP$3+6&gt;=$E44),"■","")</x:f>
      </x:c>
      <x:c r="AQ44" s="36" t="str">
        <x:f>IF(AND(AQ$3&lt;=$F44,AQ$3+6&gt;=$E44),"■","")</x:f>
      </x:c>
      <x:c r="AR44" s="36" t="str">
        <x:f>IF(AND(AR$3&lt;=$F44,AR$3+6&gt;=$E44),"■","")</x:f>
      </x:c>
      <x:c r="AS44" s="36" t="str">
        <x:f>IF(AND(AS$3&lt;=$F44,AS$3+6&gt;=$E44),"■","")</x:f>
      </x:c>
    </x:row>
    <x:row r="45">
      <x:c r="A45" s="27" t="str">
        <x:v>AT-060</x:v>
      </x:c>
      <x:c r="B45" s="27" t="str">
        <x:v>5.3.1</x:v>
      </x:c>
      <x:c r="C45" s="27" t="str">
        <x:v>Regulated validation execution</x:v>
      </x:c>
      <x:c r="D45" s="27" t="str">
        <x:v>Validation &amp; Deployment Lead</x:v>
      </x:c>
      <x:c r="E45" s="35" t="n">
        <x:v>46195</x:v>
      </x:c>
      <x:c r="F45" s="35" t="n">
        <x:v>46213</x:v>
      </x:c>
      <x:c r="G45" s="36" t="str">
        <x:f>IF(AND(G$3&lt;=$F45,G$3+6&gt;=$E45),"■","")</x:f>
      </x:c>
      <x:c r="H45" s="36" t="str">
        <x:f>IF(AND(H$3&lt;=$F45,H$3+6&gt;=$E45),"■","")</x:f>
      </x:c>
      <x:c r="I45" s="36" t="str">
        <x:f>IF(AND(I$3&lt;=$F45,I$3+6&gt;=$E45),"■","")</x:f>
      </x:c>
      <x:c r="J45" s="36" t="str">
        <x:f>IF(AND(J$3&lt;=$F45,J$3+6&gt;=$E45),"■","")</x:f>
      </x:c>
      <x:c r="K45" s="36" t="str">
        <x:f>IF(AND(K$3&lt;=$F45,K$3+6&gt;=$E45),"■","")</x:f>
      </x:c>
      <x:c r="L45" s="36" t="str">
        <x:f>IF(AND(L$3&lt;=$F45,L$3+6&gt;=$E45),"■","")</x:f>
      </x:c>
      <x:c r="M45" s="36" t="str">
        <x:f>IF(AND(M$3&lt;=$F45,M$3+6&gt;=$E45),"■","")</x:f>
      </x:c>
      <x:c r="N45" s="36" t="str">
        <x:f>IF(AND(N$3&lt;=$F45,N$3+6&gt;=$E45),"■","")</x:f>
      </x:c>
      <x:c r="O45" s="36" t="str">
        <x:f>IF(AND(O$3&lt;=$F45,O$3+6&gt;=$E45),"■","")</x:f>
      </x:c>
      <x:c r="P45" s="36" t="str">
        <x:f>IF(AND(P$3&lt;=$F45,P$3+6&gt;=$E45),"■","")</x:f>
      </x:c>
      <x:c r="Q45" s="36" t="str">
        <x:f>IF(AND(Q$3&lt;=$F45,Q$3+6&gt;=$E45),"■","")</x:f>
      </x:c>
      <x:c r="R45" s="36" t="str">
        <x:f>IF(AND(R$3&lt;=$F45,R$3+6&gt;=$E45),"■","")</x:f>
      </x:c>
      <x:c r="S45" s="36" t="str">
        <x:f>IF(AND(S$3&lt;=$F45,S$3+6&gt;=$E45),"■","")</x:f>
      </x:c>
      <x:c r="T45" s="36" t="str">
        <x:f>IF(AND(T$3&lt;=$F45,T$3+6&gt;=$E45),"■","")</x:f>
      </x:c>
      <x:c r="U45" s="36" t="str">
        <x:f>IF(AND(U$3&lt;=$F45,U$3+6&gt;=$E45),"■","")</x:f>
      </x:c>
      <x:c r="V45" s="36" t="str">
        <x:f>IF(AND(V$3&lt;=$F45,V$3+6&gt;=$E45),"■","")</x:f>
      </x:c>
      <x:c r="W45" s="36" t="str">
        <x:f>IF(AND(W$3&lt;=$F45,W$3+6&gt;=$E45),"■","")</x:f>
      </x:c>
      <x:c r="X45" s="36" t="str">
        <x:f>IF(AND(X$3&lt;=$F45,X$3+6&gt;=$E45),"■","")</x:f>
      </x:c>
      <x:c r="Y45" s="36" t="str">
        <x:f>IF(AND(Y$3&lt;=$F45,Y$3+6&gt;=$E45),"■","")</x:f>
      </x:c>
      <x:c r="Z45" s="36" t="str">
        <x:f>IF(AND(Z$3&lt;=$F45,Z$3+6&gt;=$E45),"■","")</x:f>
      </x:c>
      <x:c r="AA45" s="36" t="str">
        <x:f>IF(AND(AA$3&lt;=$F45,AA$3+6&gt;=$E45),"■","")</x:f>
      </x:c>
      <x:c r="AB45" s="36" t="str">
        <x:f>IF(AND(AB$3&lt;=$F45,AB$3+6&gt;=$E45),"■","")</x:f>
      </x:c>
      <x:c r="AC45" s="36" t="str">
        <x:f>IF(AND(AC$3&lt;=$F45,AC$3+6&gt;=$E45),"■","")</x:f>
      </x:c>
      <x:c r="AD45" s="36" t="str">
        <x:f>IF(AND(AD$3&lt;=$F45,AD$3+6&gt;=$E45),"■","")</x:f>
      </x:c>
      <x:c r="AE45" s="36" t="str">
        <x:f>IF(AND(AE$3&lt;=$F45,AE$3+6&gt;=$E45),"■","")</x:f>
        <x:v>■</x:v>
      </x:c>
      <x:c r="AF45" s="36" t="str">
        <x:f>IF(AND(AF$3&lt;=$F45,AF$3+6&gt;=$E45),"■","")</x:f>
        <x:v>■</x:v>
      </x:c>
      <x:c r="AG45" s="36" t="str">
        <x:f>IF(AND(AG$3&lt;=$F45,AG$3+6&gt;=$E45),"■","")</x:f>
        <x:v>■</x:v>
      </x:c>
      <x:c r="AH45" s="36" t="str">
        <x:f>IF(AND(AH$3&lt;=$F45,AH$3+6&gt;=$E45),"■","")</x:f>
      </x:c>
      <x:c r="AI45" s="36" t="str">
        <x:f>IF(AND(AI$3&lt;=$F45,AI$3+6&gt;=$E45),"■","")</x:f>
      </x:c>
      <x:c r="AJ45" s="36" t="str">
        <x:f>IF(AND(AJ$3&lt;=$F45,AJ$3+6&gt;=$E45),"■","")</x:f>
      </x:c>
      <x:c r="AK45" s="36" t="str">
        <x:f>IF(AND(AK$3&lt;=$F45,AK$3+6&gt;=$E45),"■","")</x:f>
      </x:c>
      <x:c r="AL45" s="36" t="str">
        <x:f>IF(AND(AL$3&lt;=$F45,AL$3+6&gt;=$E45),"■","")</x:f>
      </x:c>
      <x:c r="AM45" s="36" t="str">
        <x:f>IF(AND(AM$3&lt;=$F45,AM$3+6&gt;=$E45),"■","")</x:f>
      </x:c>
      <x:c r="AN45" s="36" t="str">
        <x:f>IF(AND(AN$3&lt;=$F45,AN$3+6&gt;=$E45),"■","")</x:f>
      </x:c>
      <x:c r="AO45" s="36" t="str">
        <x:f>IF(AND(AO$3&lt;=$F45,AO$3+6&gt;=$E45),"■","")</x:f>
      </x:c>
      <x:c r="AP45" s="36" t="str">
        <x:f>IF(AND(AP$3&lt;=$F45,AP$3+6&gt;=$E45),"■","")</x:f>
      </x:c>
      <x:c r="AQ45" s="36" t="str">
        <x:f>IF(AND(AQ$3&lt;=$F45,AQ$3+6&gt;=$E45),"■","")</x:f>
      </x:c>
      <x:c r="AR45" s="36" t="str">
        <x:f>IF(AND(AR$3&lt;=$F45,AR$3+6&gt;=$E45),"■","")</x:f>
      </x:c>
      <x:c r="AS45" s="36" t="str">
        <x:f>IF(AND(AS$3&lt;=$F45,AS$3+6&gt;=$E45),"■","")</x:f>
      </x:c>
    </x:row>
    <x:row r="46">
      <x:c r="A46" s="27" t="str">
        <x:v>AT-061</x:v>
      </x:c>
      <x:c r="B46" s="27" t="str">
        <x:v>5.3.2</x:v>
      </x:c>
      <x:c r="C46" s="27" t="str">
        <x:v>User Acceptance Testing</x:v>
      </x:c>
      <x:c r="D46" s="27" t="str">
        <x:v>Validation &amp; Deployment Lead</x:v>
      </x:c>
      <x:c r="E46" s="35" t="n">
        <x:v>46195</x:v>
      </x:c>
      <x:c r="F46" s="35" t="n">
        <x:v>46220</x:v>
      </x:c>
      <x:c r="G46" s="36" t="str">
        <x:f>IF(AND(G$3&lt;=$F46,G$3+6&gt;=$E46),"■","")</x:f>
      </x:c>
      <x:c r="H46" s="36" t="str">
        <x:f>IF(AND(H$3&lt;=$F46,H$3+6&gt;=$E46),"■","")</x:f>
      </x:c>
      <x:c r="I46" s="36" t="str">
        <x:f>IF(AND(I$3&lt;=$F46,I$3+6&gt;=$E46),"■","")</x:f>
      </x:c>
      <x:c r="J46" s="36" t="str">
        <x:f>IF(AND(J$3&lt;=$F46,J$3+6&gt;=$E46),"■","")</x:f>
      </x:c>
      <x:c r="K46" s="36" t="str">
        <x:f>IF(AND(K$3&lt;=$F46,K$3+6&gt;=$E46),"■","")</x:f>
      </x:c>
      <x:c r="L46" s="36" t="str">
        <x:f>IF(AND(L$3&lt;=$F46,L$3+6&gt;=$E46),"■","")</x:f>
      </x:c>
      <x:c r="M46" s="36" t="str">
        <x:f>IF(AND(M$3&lt;=$F46,M$3+6&gt;=$E46),"■","")</x:f>
      </x:c>
      <x:c r="N46" s="36" t="str">
        <x:f>IF(AND(N$3&lt;=$F46,N$3+6&gt;=$E46),"■","")</x:f>
      </x:c>
      <x:c r="O46" s="36" t="str">
        <x:f>IF(AND(O$3&lt;=$F46,O$3+6&gt;=$E46),"■","")</x:f>
      </x:c>
      <x:c r="P46" s="36" t="str">
        <x:f>IF(AND(P$3&lt;=$F46,P$3+6&gt;=$E46),"■","")</x:f>
      </x:c>
      <x:c r="Q46" s="36" t="str">
        <x:f>IF(AND(Q$3&lt;=$F46,Q$3+6&gt;=$E46),"■","")</x:f>
      </x:c>
      <x:c r="R46" s="36" t="str">
        <x:f>IF(AND(R$3&lt;=$F46,R$3+6&gt;=$E46),"■","")</x:f>
      </x:c>
      <x:c r="S46" s="36" t="str">
        <x:f>IF(AND(S$3&lt;=$F46,S$3+6&gt;=$E46),"■","")</x:f>
      </x:c>
      <x:c r="T46" s="36" t="str">
        <x:f>IF(AND(T$3&lt;=$F46,T$3+6&gt;=$E46),"■","")</x:f>
      </x:c>
      <x:c r="U46" s="36" t="str">
        <x:f>IF(AND(U$3&lt;=$F46,U$3+6&gt;=$E46),"■","")</x:f>
      </x:c>
      <x:c r="V46" s="36" t="str">
        <x:f>IF(AND(V$3&lt;=$F46,V$3+6&gt;=$E46),"■","")</x:f>
      </x:c>
      <x:c r="W46" s="36" t="str">
        <x:f>IF(AND(W$3&lt;=$F46,W$3+6&gt;=$E46),"■","")</x:f>
      </x:c>
      <x:c r="X46" s="36" t="str">
        <x:f>IF(AND(X$3&lt;=$F46,X$3+6&gt;=$E46),"■","")</x:f>
      </x:c>
      <x:c r="Y46" s="36" t="str">
        <x:f>IF(AND(Y$3&lt;=$F46,Y$3+6&gt;=$E46),"■","")</x:f>
      </x:c>
      <x:c r="Z46" s="36" t="str">
        <x:f>IF(AND(Z$3&lt;=$F46,Z$3+6&gt;=$E46),"■","")</x:f>
      </x:c>
      <x:c r="AA46" s="36" t="str">
        <x:f>IF(AND(AA$3&lt;=$F46,AA$3+6&gt;=$E46),"■","")</x:f>
      </x:c>
      <x:c r="AB46" s="36" t="str">
        <x:f>IF(AND(AB$3&lt;=$F46,AB$3+6&gt;=$E46),"■","")</x:f>
      </x:c>
      <x:c r="AC46" s="36" t="str">
        <x:f>IF(AND(AC$3&lt;=$F46,AC$3+6&gt;=$E46),"■","")</x:f>
      </x:c>
      <x:c r="AD46" s="36" t="str">
        <x:f>IF(AND(AD$3&lt;=$F46,AD$3+6&gt;=$E46),"■","")</x:f>
      </x:c>
      <x:c r="AE46" s="36" t="str">
        <x:f>IF(AND(AE$3&lt;=$F46,AE$3+6&gt;=$E46),"■","")</x:f>
        <x:v>■</x:v>
      </x:c>
      <x:c r="AF46" s="36" t="str">
        <x:f>IF(AND(AF$3&lt;=$F46,AF$3+6&gt;=$E46),"■","")</x:f>
        <x:v>■</x:v>
      </x:c>
      <x:c r="AG46" s="36" t="str">
        <x:f>IF(AND(AG$3&lt;=$F46,AG$3+6&gt;=$E46),"■","")</x:f>
        <x:v>■</x:v>
      </x:c>
      <x:c r="AH46" s="36" t="str">
        <x:f>IF(AND(AH$3&lt;=$F46,AH$3+6&gt;=$E46),"■","")</x:f>
        <x:v>■</x:v>
      </x:c>
      <x:c r="AI46" s="36" t="str">
        <x:f>IF(AND(AI$3&lt;=$F46,AI$3+6&gt;=$E46),"■","")</x:f>
      </x:c>
      <x:c r="AJ46" s="36" t="str">
        <x:f>IF(AND(AJ$3&lt;=$F46,AJ$3+6&gt;=$E46),"■","")</x:f>
      </x:c>
      <x:c r="AK46" s="36" t="str">
        <x:f>IF(AND(AK$3&lt;=$F46,AK$3+6&gt;=$E46),"■","")</x:f>
      </x:c>
      <x:c r="AL46" s="36" t="str">
        <x:f>IF(AND(AL$3&lt;=$F46,AL$3+6&gt;=$E46),"■","")</x:f>
      </x:c>
      <x:c r="AM46" s="36" t="str">
        <x:f>IF(AND(AM$3&lt;=$F46,AM$3+6&gt;=$E46),"■","")</x:f>
      </x:c>
      <x:c r="AN46" s="36" t="str">
        <x:f>IF(AND(AN$3&lt;=$F46,AN$3+6&gt;=$E46),"■","")</x:f>
      </x:c>
      <x:c r="AO46" s="36" t="str">
        <x:f>IF(AND(AO$3&lt;=$F46,AO$3+6&gt;=$E46),"■","")</x:f>
      </x:c>
      <x:c r="AP46" s="36" t="str">
        <x:f>IF(AND(AP$3&lt;=$F46,AP$3+6&gt;=$E46),"■","")</x:f>
      </x:c>
      <x:c r="AQ46" s="36" t="str">
        <x:f>IF(AND(AQ$3&lt;=$F46,AQ$3+6&gt;=$E46),"■","")</x:f>
      </x:c>
      <x:c r="AR46" s="36" t="str">
        <x:f>IF(AND(AR$3&lt;=$F46,AR$3+6&gt;=$E46),"■","")</x:f>
      </x:c>
      <x:c r="AS46" s="36" t="str">
        <x:f>IF(AND(AS$3&lt;=$F46,AS$3+6&gt;=$E46),"■","")</x:f>
      </x:c>
    </x:row>
    <x:row r="47">
      <x:c r="A47" s="27" t="str">
        <x:v>AT-062</x:v>
      </x:c>
      <x:c r="B47" s="27" t="str">
        <x:v>5.3.3</x:v>
      </x:c>
      <x:c r="C47" s="27" t="str">
        <x:v>Defect remediation and retesting</x:v>
      </x:c>
      <x:c r="D47" s="27" t="str">
        <x:v>Application Development Lead</x:v>
      </x:c>
      <x:c r="E47" s="35" t="n">
        <x:v>46209</x:v>
      </x:c>
      <x:c r="F47" s="35" t="n">
        <x:v>46227</x:v>
      </x:c>
      <x:c r="G47" s="36" t="str">
        <x:f>IF(AND(G$3&lt;=$F47,G$3+6&gt;=$E47),"■","")</x:f>
      </x:c>
      <x:c r="H47" s="36" t="str">
        <x:f>IF(AND(H$3&lt;=$F47,H$3+6&gt;=$E47),"■","")</x:f>
      </x:c>
      <x:c r="I47" s="36" t="str">
        <x:f>IF(AND(I$3&lt;=$F47,I$3+6&gt;=$E47),"■","")</x:f>
      </x:c>
      <x:c r="J47" s="36" t="str">
        <x:f>IF(AND(J$3&lt;=$F47,J$3+6&gt;=$E47),"■","")</x:f>
      </x:c>
      <x:c r="K47" s="36" t="str">
        <x:f>IF(AND(K$3&lt;=$F47,K$3+6&gt;=$E47),"■","")</x:f>
      </x:c>
      <x:c r="L47" s="36" t="str">
        <x:f>IF(AND(L$3&lt;=$F47,L$3+6&gt;=$E47),"■","")</x:f>
      </x:c>
      <x:c r="M47" s="36" t="str">
        <x:f>IF(AND(M$3&lt;=$F47,M$3+6&gt;=$E47),"■","")</x:f>
      </x:c>
      <x:c r="N47" s="36" t="str">
        <x:f>IF(AND(N$3&lt;=$F47,N$3+6&gt;=$E47),"■","")</x:f>
      </x:c>
      <x:c r="O47" s="36" t="str">
        <x:f>IF(AND(O$3&lt;=$F47,O$3+6&gt;=$E47),"■","")</x:f>
      </x:c>
      <x:c r="P47" s="36" t="str">
        <x:f>IF(AND(P$3&lt;=$F47,P$3+6&gt;=$E47),"■","")</x:f>
      </x:c>
      <x:c r="Q47" s="36" t="str">
        <x:f>IF(AND(Q$3&lt;=$F47,Q$3+6&gt;=$E47),"■","")</x:f>
      </x:c>
      <x:c r="R47" s="36" t="str">
        <x:f>IF(AND(R$3&lt;=$F47,R$3+6&gt;=$E47),"■","")</x:f>
      </x:c>
      <x:c r="S47" s="36" t="str">
        <x:f>IF(AND(S$3&lt;=$F47,S$3+6&gt;=$E47),"■","")</x:f>
      </x:c>
      <x:c r="T47" s="36" t="str">
        <x:f>IF(AND(T$3&lt;=$F47,T$3+6&gt;=$E47),"■","")</x:f>
      </x:c>
      <x:c r="U47" s="36" t="str">
        <x:f>IF(AND(U$3&lt;=$F47,U$3+6&gt;=$E47),"■","")</x:f>
      </x:c>
      <x:c r="V47" s="36" t="str">
        <x:f>IF(AND(V$3&lt;=$F47,V$3+6&gt;=$E47),"■","")</x:f>
      </x:c>
      <x:c r="W47" s="36" t="str">
        <x:f>IF(AND(W$3&lt;=$F47,W$3+6&gt;=$E47),"■","")</x:f>
      </x:c>
      <x:c r="X47" s="36" t="str">
        <x:f>IF(AND(X$3&lt;=$F47,X$3+6&gt;=$E47),"■","")</x:f>
      </x:c>
      <x:c r="Y47" s="36" t="str">
        <x:f>IF(AND(Y$3&lt;=$F47,Y$3+6&gt;=$E47),"■","")</x:f>
      </x:c>
      <x:c r="Z47" s="36" t="str">
        <x:f>IF(AND(Z$3&lt;=$F47,Z$3+6&gt;=$E47),"■","")</x:f>
      </x:c>
      <x:c r="AA47" s="36" t="str">
        <x:f>IF(AND(AA$3&lt;=$F47,AA$3+6&gt;=$E47),"■","")</x:f>
      </x:c>
      <x:c r="AB47" s="36" t="str">
        <x:f>IF(AND(AB$3&lt;=$F47,AB$3+6&gt;=$E47),"■","")</x:f>
      </x:c>
      <x:c r="AC47" s="36" t="str">
        <x:f>IF(AND(AC$3&lt;=$F47,AC$3+6&gt;=$E47),"■","")</x:f>
      </x:c>
      <x:c r="AD47" s="36" t="str">
        <x:f>IF(AND(AD$3&lt;=$F47,AD$3+6&gt;=$E47),"■","")</x:f>
      </x:c>
      <x:c r="AE47" s="36" t="str">
        <x:f>IF(AND(AE$3&lt;=$F47,AE$3+6&gt;=$E47),"■","")</x:f>
      </x:c>
      <x:c r="AF47" s="36" t="str">
        <x:f>IF(AND(AF$3&lt;=$F47,AF$3+6&gt;=$E47),"■","")</x:f>
      </x:c>
      <x:c r="AG47" s="36" t="str">
        <x:f>IF(AND(AG$3&lt;=$F47,AG$3+6&gt;=$E47),"■","")</x:f>
        <x:v>■</x:v>
      </x:c>
      <x:c r="AH47" s="36" t="str">
        <x:f>IF(AND(AH$3&lt;=$F47,AH$3+6&gt;=$E47),"■","")</x:f>
        <x:v>■</x:v>
      </x:c>
      <x:c r="AI47" s="36" t="str">
        <x:f>IF(AND(AI$3&lt;=$F47,AI$3+6&gt;=$E47),"■","")</x:f>
        <x:v>■</x:v>
      </x:c>
      <x:c r="AJ47" s="36" t="str">
        <x:f>IF(AND(AJ$3&lt;=$F47,AJ$3+6&gt;=$E47),"■","")</x:f>
      </x:c>
      <x:c r="AK47" s="36" t="str">
        <x:f>IF(AND(AK$3&lt;=$F47,AK$3+6&gt;=$E47),"■","")</x:f>
      </x:c>
      <x:c r="AL47" s="36" t="str">
        <x:f>IF(AND(AL$3&lt;=$F47,AL$3+6&gt;=$E47),"■","")</x:f>
      </x:c>
      <x:c r="AM47" s="36" t="str">
        <x:f>IF(AND(AM$3&lt;=$F47,AM$3+6&gt;=$E47),"■","")</x:f>
      </x:c>
      <x:c r="AN47" s="36" t="str">
        <x:f>IF(AND(AN$3&lt;=$F47,AN$3+6&gt;=$E47),"■","")</x:f>
      </x:c>
      <x:c r="AO47" s="36" t="str">
        <x:f>IF(AND(AO$3&lt;=$F47,AO$3+6&gt;=$E47),"■","")</x:f>
      </x:c>
      <x:c r="AP47" s="36" t="str">
        <x:f>IF(AND(AP$3&lt;=$F47,AP$3+6&gt;=$E47),"■","")</x:f>
      </x:c>
      <x:c r="AQ47" s="36" t="str">
        <x:f>IF(AND(AQ$3&lt;=$F47,AQ$3+6&gt;=$E47),"■","")</x:f>
      </x:c>
      <x:c r="AR47" s="36" t="str">
        <x:f>IF(AND(AR$3&lt;=$F47,AR$3+6&gt;=$E47),"■","")</x:f>
      </x:c>
      <x:c r="AS47" s="36" t="str">
        <x:f>IF(AND(AS$3&lt;=$F47,AS$3+6&gt;=$E47),"■","")</x:f>
      </x:c>
    </x:row>
    <x:row r="48">
      <x:c r="A48" s="27" t="str">
        <x:v>AT-063</x:v>
      </x:c>
      <x:c r="B48" s="27" t="str">
        <x:v>5.3.4</x:v>
      </x:c>
      <x:c r="C48" s="27" t="str">
        <x:v>Final traceability reconciliation and validation approval</x:v>
      </x:c>
      <x:c r="D48" s="27" t="str">
        <x:v>Validation &amp; Deployment Lead</x:v>
      </x:c>
      <x:c r="E48" s="35" t="n">
        <x:v>46230</x:v>
      </x:c>
      <x:c r="F48" s="35" t="n">
        <x:v>46234</x:v>
      </x:c>
      <x:c r="G48" s="36" t="str">
        <x:f>IF(AND(G$3&lt;=$F48,G$3+6&gt;=$E48),"■","")</x:f>
      </x:c>
      <x:c r="H48" s="36" t="str">
        <x:f>IF(AND(H$3&lt;=$F48,H$3+6&gt;=$E48),"■","")</x:f>
      </x:c>
      <x:c r="I48" s="36" t="str">
        <x:f>IF(AND(I$3&lt;=$F48,I$3+6&gt;=$E48),"■","")</x:f>
      </x:c>
      <x:c r="J48" s="36" t="str">
        <x:f>IF(AND(J$3&lt;=$F48,J$3+6&gt;=$E48),"■","")</x:f>
      </x:c>
      <x:c r="K48" s="36" t="str">
        <x:f>IF(AND(K$3&lt;=$F48,K$3+6&gt;=$E48),"■","")</x:f>
      </x:c>
      <x:c r="L48" s="36" t="str">
        <x:f>IF(AND(L$3&lt;=$F48,L$3+6&gt;=$E48),"■","")</x:f>
      </x:c>
      <x:c r="M48" s="36" t="str">
        <x:f>IF(AND(M$3&lt;=$F48,M$3+6&gt;=$E48),"■","")</x:f>
      </x:c>
      <x:c r="N48" s="36" t="str">
        <x:f>IF(AND(N$3&lt;=$F48,N$3+6&gt;=$E48),"■","")</x:f>
      </x:c>
      <x:c r="O48" s="36" t="str">
        <x:f>IF(AND(O$3&lt;=$F48,O$3+6&gt;=$E48),"■","")</x:f>
      </x:c>
      <x:c r="P48" s="36" t="str">
        <x:f>IF(AND(P$3&lt;=$F48,P$3+6&gt;=$E48),"■","")</x:f>
      </x:c>
      <x:c r="Q48" s="36" t="str">
        <x:f>IF(AND(Q$3&lt;=$F48,Q$3+6&gt;=$E48),"■","")</x:f>
      </x:c>
      <x:c r="R48" s="36" t="str">
        <x:f>IF(AND(R$3&lt;=$F48,R$3+6&gt;=$E48),"■","")</x:f>
      </x:c>
      <x:c r="S48" s="36" t="str">
        <x:f>IF(AND(S$3&lt;=$F48,S$3+6&gt;=$E48),"■","")</x:f>
      </x:c>
      <x:c r="T48" s="36" t="str">
        <x:f>IF(AND(T$3&lt;=$F48,T$3+6&gt;=$E48),"■","")</x:f>
      </x:c>
      <x:c r="U48" s="36" t="str">
        <x:f>IF(AND(U$3&lt;=$F48,U$3+6&gt;=$E48),"■","")</x:f>
      </x:c>
      <x:c r="V48" s="36" t="str">
        <x:f>IF(AND(V$3&lt;=$F48,V$3+6&gt;=$E48),"■","")</x:f>
      </x:c>
      <x:c r="W48" s="36" t="str">
        <x:f>IF(AND(W$3&lt;=$F48,W$3+6&gt;=$E48),"■","")</x:f>
      </x:c>
      <x:c r="X48" s="36" t="str">
        <x:f>IF(AND(X$3&lt;=$F48,X$3+6&gt;=$E48),"■","")</x:f>
      </x:c>
      <x:c r="Y48" s="36" t="str">
        <x:f>IF(AND(Y$3&lt;=$F48,Y$3+6&gt;=$E48),"■","")</x:f>
      </x:c>
      <x:c r="Z48" s="36" t="str">
        <x:f>IF(AND(Z$3&lt;=$F48,Z$3+6&gt;=$E48),"■","")</x:f>
      </x:c>
      <x:c r="AA48" s="36" t="str">
        <x:f>IF(AND(AA$3&lt;=$F48,AA$3+6&gt;=$E48),"■","")</x:f>
      </x:c>
      <x:c r="AB48" s="36" t="str">
        <x:f>IF(AND(AB$3&lt;=$F48,AB$3+6&gt;=$E48),"■","")</x:f>
      </x:c>
      <x:c r="AC48" s="36" t="str">
        <x:f>IF(AND(AC$3&lt;=$F48,AC$3+6&gt;=$E48),"■","")</x:f>
      </x:c>
      <x:c r="AD48" s="36" t="str">
        <x:f>IF(AND(AD$3&lt;=$F48,AD$3+6&gt;=$E48),"■","")</x:f>
      </x:c>
      <x:c r="AE48" s="36" t="str">
        <x:f>IF(AND(AE$3&lt;=$F48,AE$3+6&gt;=$E48),"■","")</x:f>
      </x:c>
      <x:c r="AF48" s="36" t="str">
        <x:f>IF(AND(AF$3&lt;=$F48,AF$3+6&gt;=$E48),"■","")</x:f>
      </x:c>
      <x:c r="AG48" s="36" t="str">
        <x:f>IF(AND(AG$3&lt;=$F48,AG$3+6&gt;=$E48),"■","")</x:f>
      </x:c>
      <x:c r="AH48" s="36" t="str">
        <x:f>IF(AND(AH$3&lt;=$F48,AH$3+6&gt;=$E48),"■","")</x:f>
      </x:c>
      <x:c r="AI48" s="36" t="str">
        <x:f>IF(AND(AI$3&lt;=$F48,AI$3+6&gt;=$E48),"■","")</x:f>
      </x:c>
      <x:c r="AJ48" s="36" t="str">
        <x:f>IF(AND(AJ$3&lt;=$F48,AJ$3+6&gt;=$E48),"■","")</x:f>
        <x:v>■</x:v>
      </x:c>
      <x:c r="AK48" s="36" t="str">
        <x:f>IF(AND(AK$3&lt;=$F48,AK$3+6&gt;=$E48),"■","")</x:f>
      </x:c>
      <x:c r="AL48" s="36" t="str">
        <x:f>IF(AND(AL$3&lt;=$F48,AL$3+6&gt;=$E48),"■","")</x:f>
      </x:c>
      <x:c r="AM48" s="36" t="str">
        <x:f>IF(AND(AM$3&lt;=$F48,AM$3+6&gt;=$E48),"■","")</x:f>
      </x:c>
      <x:c r="AN48" s="36" t="str">
        <x:f>IF(AND(AN$3&lt;=$F48,AN$3+6&gt;=$E48),"■","")</x:f>
      </x:c>
      <x:c r="AO48" s="36" t="str">
        <x:f>IF(AND(AO$3&lt;=$F48,AO$3+6&gt;=$E48),"■","")</x:f>
      </x:c>
      <x:c r="AP48" s="36" t="str">
        <x:f>IF(AND(AP$3&lt;=$F48,AP$3+6&gt;=$E48),"■","")</x:f>
      </x:c>
      <x:c r="AQ48" s="36" t="str">
        <x:f>IF(AND(AQ$3&lt;=$F48,AQ$3+6&gt;=$E48),"■","")</x:f>
      </x:c>
      <x:c r="AR48" s="36" t="str">
        <x:f>IF(AND(AR$3&lt;=$F48,AR$3+6&gt;=$E48),"■","")</x:f>
      </x:c>
      <x:c r="AS48" s="36" t="str">
        <x:f>IF(AND(AS$3&lt;=$F48,AS$3+6&gt;=$E48),"■","")</x:f>
      </x:c>
    </x:row>
    <x:row r="49">
      <x:c r="A49" s="27" t="str">
        <x:v>AT-064</x:v>
      </x:c>
      <x:c r="B49" s="27" t="str">
        <x:v>5.3</x:v>
      </x:c>
      <x:c r="C49" s="27" t="str">
        <x:v>Validation and UAT complete</x:v>
      </x:c>
      <x:c r="D49" s="27" t="str">
        <x:v>Quality / Compliance Lead</x:v>
      </x:c>
      <x:c r="E49" s="35" t="n">
        <x:v>46234</x:v>
      </x:c>
      <x:c r="F49" s="35" t="n">
        <x:v>46234</x:v>
      </x:c>
      <x:c r="G49" s="36" t="str">
        <x:f>IF(AND(G$3&lt;=$F49,G$3+6&gt;=$E49),"■","")</x:f>
      </x:c>
      <x:c r="H49" s="36" t="str">
        <x:f>IF(AND(H$3&lt;=$F49,H$3+6&gt;=$E49),"■","")</x:f>
      </x:c>
      <x:c r="I49" s="36" t="str">
        <x:f>IF(AND(I$3&lt;=$F49,I$3+6&gt;=$E49),"■","")</x:f>
      </x:c>
      <x:c r="J49" s="36" t="str">
        <x:f>IF(AND(J$3&lt;=$F49,J$3+6&gt;=$E49),"■","")</x:f>
      </x:c>
      <x:c r="K49" s="36" t="str">
        <x:f>IF(AND(K$3&lt;=$F49,K$3+6&gt;=$E49),"■","")</x:f>
      </x:c>
      <x:c r="L49" s="36" t="str">
        <x:f>IF(AND(L$3&lt;=$F49,L$3+6&gt;=$E49),"■","")</x:f>
      </x:c>
      <x:c r="M49" s="36" t="str">
        <x:f>IF(AND(M$3&lt;=$F49,M$3+6&gt;=$E49),"■","")</x:f>
      </x:c>
      <x:c r="N49" s="36" t="str">
        <x:f>IF(AND(N$3&lt;=$F49,N$3+6&gt;=$E49),"■","")</x:f>
      </x:c>
      <x:c r="O49" s="36" t="str">
        <x:f>IF(AND(O$3&lt;=$F49,O$3+6&gt;=$E49),"■","")</x:f>
      </x:c>
      <x:c r="P49" s="36" t="str">
        <x:f>IF(AND(P$3&lt;=$F49,P$3+6&gt;=$E49),"■","")</x:f>
      </x:c>
      <x:c r="Q49" s="36" t="str">
        <x:f>IF(AND(Q$3&lt;=$F49,Q$3+6&gt;=$E49),"■","")</x:f>
      </x:c>
      <x:c r="R49" s="36" t="str">
        <x:f>IF(AND(R$3&lt;=$F49,R$3+6&gt;=$E49),"■","")</x:f>
      </x:c>
      <x:c r="S49" s="36" t="str">
        <x:f>IF(AND(S$3&lt;=$F49,S$3+6&gt;=$E49),"■","")</x:f>
      </x:c>
      <x:c r="T49" s="36" t="str">
        <x:f>IF(AND(T$3&lt;=$F49,T$3+6&gt;=$E49),"■","")</x:f>
      </x:c>
      <x:c r="U49" s="36" t="str">
        <x:f>IF(AND(U$3&lt;=$F49,U$3+6&gt;=$E49),"■","")</x:f>
      </x:c>
      <x:c r="V49" s="36" t="str">
        <x:f>IF(AND(V$3&lt;=$F49,V$3+6&gt;=$E49),"■","")</x:f>
      </x:c>
      <x:c r="W49" s="36" t="str">
        <x:f>IF(AND(W$3&lt;=$F49,W$3+6&gt;=$E49),"■","")</x:f>
      </x:c>
      <x:c r="X49" s="36" t="str">
        <x:f>IF(AND(X$3&lt;=$F49,X$3+6&gt;=$E49),"■","")</x:f>
      </x:c>
      <x:c r="Y49" s="36" t="str">
        <x:f>IF(AND(Y$3&lt;=$F49,Y$3+6&gt;=$E49),"■","")</x:f>
      </x:c>
      <x:c r="Z49" s="36" t="str">
        <x:f>IF(AND(Z$3&lt;=$F49,Z$3+6&gt;=$E49),"■","")</x:f>
      </x:c>
      <x:c r="AA49" s="36" t="str">
        <x:f>IF(AND(AA$3&lt;=$F49,AA$3+6&gt;=$E49),"■","")</x:f>
      </x:c>
      <x:c r="AB49" s="36" t="str">
        <x:f>IF(AND(AB$3&lt;=$F49,AB$3+6&gt;=$E49),"■","")</x:f>
      </x:c>
      <x:c r="AC49" s="36" t="str">
        <x:f>IF(AND(AC$3&lt;=$F49,AC$3+6&gt;=$E49),"■","")</x:f>
      </x:c>
      <x:c r="AD49" s="36" t="str">
        <x:f>IF(AND(AD$3&lt;=$F49,AD$3+6&gt;=$E49),"■","")</x:f>
      </x:c>
      <x:c r="AE49" s="36" t="str">
        <x:f>IF(AND(AE$3&lt;=$F49,AE$3+6&gt;=$E49),"■","")</x:f>
      </x:c>
      <x:c r="AF49" s="36" t="str">
        <x:f>IF(AND(AF$3&lt;=$F49,AF$3+6&gt;=$E49),"■","")</x:f>
      </x:c>
      <x:c r="AG49" s="36" t="str">
        <x:f>IF(AND(AG$3&lt;=$F49,AG$3+6&gt;=$E49),"■","")</x:f>
      </x:c>
      <x:c r="AH49" s="36" t="str">
        <x:f>IF(AND(AH$3&lt;=$F49,AH$3+6&gt;=$E49),"■","")</x:f>
      </x:c>
      <x:c r="AI49" s="36" t="str">
        <x:f>IF(AND(AI$3&lt;=$F49,AI$3+6&gt;=$E49),"■","")</x:f>
      </x:c>
      <x:c r="AJ49" s="36" t="str">
        <x:f>IF(AND(AJ$3&lt;=$F49,AJ$3+6&gt;=$E49),"■","")</x:f>
        <x:v>■</x:v>
      </x:c>
      <x:c r="AK49" s="36" t="str">
        <x:f>IF(AND(AK$3&lt;=$F49,AK$3+6&gt;=$E49),"■","")</x:f>
      </x:c>
      <x:c r="AL49" s="36" t="str">
        <x:f>IF(AND(AL$3&lt;=$F49,AL$3+6&gt;=$E49),"■","")</x:f>
      </x:c>
      <x:c r="AM49" s="36" t="str">
        <x:f>IF(AND(AM$3&lt;=$F49,AM$3+6&gt;=$E49),"■","")</x:f>
      </x:c>
      <x:c r="AN49" s="36" t="str">
        <x:f>IF(AND(AN$3&lt;=$F49,AN$3+6&gt;=$E49),"■","")</x:f>
      </x:c>
      <x:c r="AO49" s="36" t="str">
        <x:f>IF(AND(AO$3&lt;=$F49,AO$3+6&gt;=$E49),"■","")</x:f>
      </x:c>
      <x:c r="AP49" s="36" t="str">
        <x:f>IF(AND(AP$3&lt;=$F49,AP$3+6&gt;=$E49),"■","")</x:f>
      </x:c>
      <x:c r="AQ49" s="36" t="str">
        <x:f>IF(AND(AQ$3&lt;=$F49,AQ$3+6&gt;=$E49),"■","")</x:f>
      </x:c>
      <x:c r="AR49" s="36" t="str">
        <x:f>IF(AND(AR$3&lt;=$F49,AR$3+6&gt;=$E49),"■","")</x:f>
      </x:c>
      <x:c r="AS49" s="36" t="str">
        <x:f>IF(AND(AS$3&lt;=$F49,AS$3+6&gt;=$E49),"■","")</x:f>
      </x:c>
    </x:row>
    <x:row r="50">
      <x:c r="A50" s="27" t="str">
        <x:v>AT-070</x:v>
      </x:c>
      <x:c r="B50" s="27" t="str">
        <x:v>6.1.1</x:v>
      </x:c>
      <x:c r="C50" s="27" t="str">
        <x:v>Business impact and readiness assessment</x:v>
      </x:c>
      <x:c r="D50" s="27" t="str">
        <x:v>Change &amp; Training Lead</x:v>
      </x:c>
      <x:c r="E50" s="35" t="n">
        <x:v>46160</x:v>
      </x:c>
      <x:c r="F50" s="35" t="n">
        <x:v>46185</x:v>
      </x:c>
      <x:c r="G50" s="36" t="str">
        <x:f>IF(AND(G$3&lt;=$F50,G$3+6&gt;=$E50),"■","")</x:f>
      </x:c>
      <x:c r="H50" s="36" t="str">
        <x:f>IF(AND(H$3&lt;=$F50,H$3+6&gt;=$E50),"■","")</x:f>
      </x:c>
      <x:c r="I50" s="36" t="str">
        <x:f>IF(AND(I$3&lt;=$F50,I$3+6&gt;=$E50),"■","")</x:f>
      </x:c>
      <x:c r="J50" s="36" t="str">
        <x:f>IF(AND(J$3&lt;=$F50,J$3+6&gt;=$E50),"■","")</x:f>
      </x:c>
      <x:c r="K50" s="36" t="str">
        <x:f>IF(AND(K$3&lt;=$F50,K$3+6&gt;=$E50),"■","")</x:f>
      </x:c>
      <x:c r="L50" s="36" t="str">
        <x:f>IF(AND(L$3&lt;=$F50,L$3+6&gt;=$E50),"■","")</x:f>
      </x:c>
      <x:c r="M50" s="36" t="str">
        <x:f>IF(AND(M$3&lt;=$F50,M$3+6&gt;=$E50),"■","")</x:f>
      </x:c>
      <x:c r="N50" s="36" t="str">
        <x:f>IF(AND(N$3&lt;=$F50,N$3+6&gt;=$E50),"■","")</x:f>
      </x:c>
      <x:c r="O50" s="36" t="str">
        <x:f>IF(AND(O$3&lt;=$F50,O$3+6&gt;=$E50),"■","")</x:f>
      </x:c>
      <x:c r="P50" s="36" t="str">
        <x:f>IF(AND(P$3&lt;=$F50,P$3+6&gt;=$E50),"■","")</x:f>
      </x:c>
      <x:c r="Q50" s="36" t="str">
        <x:f>IF(AND(Q$3&lt;=$F50,Q$3+6&gt;=$E50),"■","")</x:f>
      </x:c>
      <x:c r="R50" s="36" t="str">
        <x:f>IF(AND(R$3&lt;=$F50,R$3+6&gt;=$E50),"■","")</x:f>
      </x:c>
      <x:c r="S50" s="36" t="str">
        <x:f>IF(AND(S$3&lt;=$F50,S$3+6&gt;=$E50),"■","")</x:f>
      </x:c>
      <x:c r="T50" s="36" t="str">
        <x:f>IF(AND(T$3&lt;=$F50,T$3+6&gt;=$E50),"■","")</x:f>
      </x:c>
      <x:c r="U50" s="36" t="str">
        <x:f>IF(AND(U$3&lt;=$F50,U$3+6&gt;=$E50),"■","")</x:f>
      </x:c>
      <x:c r="V50" s="36" t="str">
        <x:f>IF(AND(V$3&lt;=$F50,V$3+6&gt;=$E50),"■","")</x:f>
      </x:c>
      <x:c r="W50" s="36" t="str">
        <x:f>IF(AND(W$3&lt;=$F50,W$3+6&gt;=$E50),"■","")</x:f>
      </x:c>
      <x:c r="X50" s="36" t="str">
        <x:f>IF(AND(X$3&lt;=$F50,X$3+6&gt;=$E50),"■","")</x:f>
      </x:c>
      <x:c r="Y50" s="36" t="str">
        <x:f>IF(AND(Y$3&lt;=$F50,Y$3+6&gt;=$E50),"■","")</x:f>
      </x:c>
      <x:c r="Z50" s="36" t="str">
        <x:f>IF(AND(Z$3&lt;=$F50,Z$3+6&gt;=$E50),"■","")</x:f>
        <x:v>■</x:v>
      </x:c>
      <x:c r="AA50" s="36" t="str">
        <x:f>IF(AND(AA$3&lt;=$F50,AA$3+6&gt;=$E50),"■","")</x:f>
        <x:v>■</x:v>
      </x:c>
      <x:c r="AB50" s="36" t="str">
        <x:f>IF(AND(AB$3&lt;=$F50,AB$3+6&gt;=$E50),"■","")</x:f>
        <x:v>■</x:v>
      </x:c>
      <x:c r="AC50" s="36" t="str">
        <x:f>IF(AND(AC$3&lt;=$F50,AC$3+6&gt;=$E50),"■","")</x:f>
        <x:v>■</x:v>
      </x:c>
      <x:c r="AD50" s="36" t="str">
        <x:f>IF(AND(AD$3&lt;=$F50,AD$3+6&gt;=$E50),"■","")</x:f>
      </x:c>
      <x:c r="AE50" s="36" t="str">
        <x:f>IF(AND(AE$3&lt;=$F50,AE$3+6&gt;=$E50),"■","")</x:f>
      </x:c>
      <x:c r="AF50" s="36" t="str">
        <x:f>IF(AND(AF$3&lt;=$F50,AF$3+6&gt;=$E50),"■","")</x:f>
      </x:c>
      <x:c r="AG50" s="36" t="str">
        <x:f>IF(AND(AG$3&lt;=$F50,AG$3+6&gt;=$E50),"■","")</x:f>
      </x:c>
      <x:c r="AH50" s="36" t="str">
        <x:f>IF(AND(AH$3&lt;=$F50,AH$3+6&gt;=$E50),"■","")</x:f>
      </x:c>
      <x:c r="AI50" s="36" t="str">
        <x:f>IF(AND(AI$3&lt;=$F50,AI$3+6&gt;=$E50),"■","")</x:f>
      </x:c>
      <x:c r="AJ50" s="36" t="str">
        <x:f>IF(AND(AJ$3&lt;=$F50,AJ$3+6&gt;=$E50),"■","")</x:f>
      </x:c>
      <x:c r="AK50" s="36" t="str">
        <x:f>IF(AND(AK$3&lt;=$F50,AK$3+6&gt;=$E50),"■","")</x:f>
      </x:c>
      <x:c r="AL50" s="36" t="str">
        <x:f>IF(AND(AL$3&lt;=$F50,AL$3+6&gt;=$E50),"■","")</x:f>
      </x:c>
      <x:c r="AM50" s="36" t="str">
        <x:f>IF(AND(AM$3&lt;=$F50,AM$3+6&gt;=$E50),"■","")</x:f>
      </x:c>
      <x:c r="AN50" s="36" t="str">
        <x:f>IF(AND(AN$3&lt;=$F50,AN$3+6&gt;=$E50),"■","")</x:f>
      </x:c>
      <x:c r="AO50" s="36" t="str">
        <x:f>IF(AND(AO$3&lt;=$F50,AO$3+6&gt;=$E50),"■","")</x:f>
      </x:c>
      <x:c r="AP50" s="36" t="str">
        <x:f>IF(AND(AP$3&lt;=$F50,AP$3+6&gt;=$E50),"■","")</x:f>
      </x:c>
      <x:c r="AQ50" s="36" t="str">
        <x:f>IF(AND(AQ$3&lt;=$F50,AQ$3+6&gt;=$E50),"■","")</x:f>
      </x:c>
      <x:c r="AR50" s="36" t="str">
        <x:f>IF(AND(AR$3&lt;=$F50,AR$3+6&gt;=$E50),"■","")</x:f>
      </x:c>
      <x:c r="AS50" s="36" t="str">
        <x:f>IF(AND(AS$3&lt;=$F50,AS$3+6&gt;=$E50),"■","")</x:f>
      </x:c>
    </x:row>
    <x:row r="51">
      <x:c r="A51" s="27" t="str">
        <x:v>AT-071</x:v>
      </x:c>
      <x:c r="B51" s="27" t="str">
        <x:v>6.1.2</x:v>
      </x:c>
      <x:c r="C51" s="27" t="str">
        <x:v>Stakeholder communications and adoption activities</x:v>
      </x:c>
      <x:c r="D51" s="27" t="str">
        <x:v>Change &amp; Training Lead</x:v>
      </x:c>
      <x:c r="E51" s="35" t="n">
        <x:v>46188</x:v>
      </x:c>
      <x:c r="F51" s="35" t="n">
        <x:v>46241</x:v>
      </x:c>
      <x:c r="G51" s="36" t="str">
        <x:f>IF(AND(G$3&lt;=$F51,G$3+6&gt;=$E51),"■","")</x:f>
      </x:c>
      <x:c r="H51" s="36" t="str">
        <x:f>IF(AND(H$3&lt;=$F51,H$3+6&gt;=$E51),"■","")</x:f>
      </x:c>
      <x:c r="I51" s="36" t="str">
        <x:f>IF(AND(I$3&lt;=$F51,I$3+6&gt;=$E51),"■","")</x:f>
      </x:c>
      <x:c r="J51" s="36" t="str">
        <x:f>IF(AND(J$3&lt;=$F51,J$3+6&gt;=$E51),"■","")</x:f>
      </x:c>
      <x:c r="K51" s="36" t="str">
        <x:f>IF(AND(K$3&lt;=$F51,K$3+6&gt;=$E51),"■","")</x:f>
      </x:c>
      <x:c r="L51" s="36" t="str">
        <x:f>IF(AND(L$3&lt;=$F51,L$3+6&gt;=$E51),"■","")</x:f>
      </x:c>
      <x:c r="M51" s="36" t="str">
        <x:f>IF(AND(M$3&lt;=$F51,M$3+6&gt;=$E51),"■","")</x:f>
      </x:c>
      <x:c r="N51" s="36" t="str">
        <x:f>IF(AND(N$3&lt;=$F51,N$3+6&gt;=$E51),"■","")</x:f>
      </x:c>
      <x:c r="O51" s="36" t="str">
        <x:f>IF(AND(O$3&lt;=$F51,O$3+6&gt;=$E51),"■","")</x:f>
      </x:c>
      <x:c r="P51" s="36" t="str">
        <x:f>IF(AND(P$3&lt;=$F51,P$3+6&gt;=$E51),"■","")</x:f>
      </x:c>
      <x:c r="Q51" s="36" t="str">
        <x:f>IF(AND(Q$3&lt;=$F51,Q$3+6&gt;=$E51),"■","")</x:f>
      </x:c>
      <x:c r="R51" s="36" t="str">
        <x:f>IF(AND(R$3&lt;=$F51,R$3+6&gt;=$E51),"■","")</x:f>
      </x:c>
      <x:c r="S51" s="36" t="str">
        <x:f>IF(AND(S$3&lt;=$F51,S$3+6&gt;=$E51),"■","")</x:f>
      </x:c>
      <x:c r="T51" s="36" t="str">
        <x:f>IF(AND(T$3&lt;=$F51,T$3+6&gt;=$E51),"■","")</x:f>
      </x:c>
      <x:c r="U51" s="36" t="str">
        <x:f>IF(AND(U$3&lt;=$F51,U$3+6&gt;=$E51),"■","")</x:f>
      </x:c>
      <x:c r="V51" s="36" t="str">
        <x:f>IF(AND(V$3&lt;=$F51,V$3+6&gt;=$E51),"■","")</x:f>
      </x:c>
      <x:c r="W51" s="36" t="str">
        <x:f>IF(AND(W$3&lt;=$F51,W$3+6&gt;=$E51),"■","")</x:f>
      </x:c>
      <x:c r="X51" s="36" t="str">
        <x:f>IF(AND(X$3&lt;=$F51,X$3+6&gt;=$E51),"■","")</x:f>
      </x:c>
      <x:c r="Y51" s="36" t="str">
        <x:f>IF(AND(Y$3&lt;=$F51,Y$3+6&gt;=$E51),"■","")</x:f>
      </x:c>
      <x:c r="Z51" s="36" t="str">
        <x:f>IF(AND(Z$3&lt;=$F51,Z$3+6&gt;=$E51),"■","")</x:f>
      </x:c>
      <x:c r="AA51" s="36" t="str">
        <x:f>IF(AND(AA$3&lt;=$F51,AA$3+6&gt;=$E51),"■","")</x:f>
      </x:c>
      <x:c r="AB51" s="36" t="str">
        <x:f>IF(AND(AB$3&lt;=$F51,AB$3+6&gt;=$E51),"■","")</x:f>
      </x:c>
      <x:c r="AC51" s="36" t="str">
        <x:f>IF(AND(AC$3&lt;=$F51,AC$3+6&gt;=$E51),"■","")</x:f>
      </x:c>
      <x:c r="AD51" s="36" t="str">
        <x:f>IF(AND(AD$3&lt;=$F51,AD$3+6&gt;=$E51),"■","")</x:f>
        <x:v>■</x:v>
      </x:c>
      <x:c r="AE51" s="36" t="str">
        <x:f>IF(AND(AE$3&lt;=$F51,AE$3+6&gt;=$E51),"■","")</x:f>
        <x:v>■</x:v>
      </x:c>
      <x:c r="AF51" s="36" t="str">
        <x:f>IF(AND(AF$3&lt;=$F51,AF$3+6&gt;=$E51),"■","")</x:f>
        <x:v>■</x:v>
      </x:c>
      <x:c r="AG51" s="36" t="str">
        <x:f>IF(AND(AG$3&lt;=$F51,AG$3+6&gt;=$E51),"■","")</x:f>
        <x:v>■</x:v>
      </x:c>
      <x:c r="AH51" s="36" t="str">
        <x:f>IF(AND(AH$3&lt;=$F51,AH$3+6&gt;=$E51),"■","")</x:f>
        <x:v>■</x:v>
      </x:c>
      <x:c r="AI51" s="36" t="str">
        <x:f>IF(AND(AI$3&lt;=$F51,AI$3+6&gt;=$E51),"■","")</x:f>
        <x:v>■</x:v>
      </x:c>
      <x:c r="AJ51" s="36" t="str">
        <x:f>IF(AND(AJ$3&lt;=$F51,AJ$3+6&gt;=$E51),"■","")</x:f>
        <x:v>■</x:v>
      </x:c>
      <x:c r="AK51" s="36" t="str">
        <x:f>IF(AND(AK$3&lt;=$F51,AK$3+6&gt;=$E51),"■","")</x:f>
        <x:v>■</x:v>
      </x:c>
      <x:c r="AL51" s="36" t="str">
        <x:f>IF(AND(AL$3&lt;=$F51,AL$3+6&gt;=$E51),"■","")</x:f>
      </x:c>
      <x:c r="AM51" s="36" t="str">
        <x:f>IF(AND(AM$3&lt;=$F51,AM$3+6&gt;=$E51),"■","")</x:f>
      </x:c>
      <x:c r="AN51" s="36" t="str">
        <x:f>IF(AND(AN$3&lt;=$F51,AN$3+6&gt;=$E51),"■","")</x:f>
      </x:c>
      <x:c r="AO51" s="36" t="str">
        <x:f>IF(AND(AO$3&lt;=$F51,AO$3+6&gt;=$E51),"■","")</x:f>
      </x:c>
      <x:c r="AP51" s="36" t="str">
        <x:f>IF(AND(AP$3&lt;=$F51,AP$3+6&gt;=$E51),"■","")</x:f>
      </x:c>
      <x:c r="AQ51" s="36" t="str">
        <x:f>IF(AND(AQ$3&lt;=$F51,AQ$3+6&gt;=$E51),"■","")</x:f>
      </x:c>
      <x:c r="AR51" s="36" t="str">
        <x:f>IF(AND(AR$3&lt;=$F51,AR$3+6&gt;=$E51),"■","")</x:f>
      </x:c>
      <x:c r="AS51" s="36" t="str">
        <x:f>IF(AND(AS$3&lt;=$F51,AS$3+6&gt;=$E51),"■","")</x:f>
      </x:c>
    </x:row>
    <x:row r="52">
      <x:c r="A52" s="27" t="str">
        <x:v>AT-072</x:v>
      </x:c>
      <x:c r="B52" s="27" t="str">
        <x:v>6.2.1</x:v>
      </x:c>
      <x:c r="C52" s="27" t="str">
        <x:v>Develop training materials and user guidance</x:v>
      </x:c>
      <x:c r="D52" s="27" t="str">
        <x:v>Change &amp; Training Lead</x:v>
      </x:c>
      <x:c r="E52" s="35" t="n">
        <x:v>46181</x:v>
      </x:c>
      <x:c r="F52" s="35" t="n">
        <x:v>46213</x:v>
      </x:c>
      <x:c r="G52" s="36" t="str">
        <x:f>IF(AND(G$3&lt;=$F52,G$3+6&gt;=$E52),"■","")</x:f>
      </x:c>
      <x:c r="H52" s="36" t="str">
        <x:f>IF(AND(H$3&lt;=$F52,H$3+6&gt;=$E52),"■","")</x:f>
      </x:c>
      <x:c r="I52" s="36" t="str">
        <x:f>IF(AND(I$3&lt;=$F52,I$3+6&gt;=$E52),"■","")</x:f>
      </x:c>
      <x:c r="J52" s="36" t="str">
        <x:f>IF(AND(J$3&lt;=$F52,J$3+6&gt;=$E52),"■","")</x:f>
      </x:c>
      <x:c r="K52" s="36" t="str">
        <x:f>IF(AND(K$3&lt;=$F52,K$3+6&gt;=$E52),"■","")</x:f>
      </x:c>
      <x:c r="L52" s="36" t="str">
        <x:f>IF(AND(L$3&lt;=$F52,L$3+6&gt;=$E52),"■","")</x:f>
      </x:c>
      <x:c r="M52" s="36" t="str">
        <x:f>IF(AND(M$3&lt;=$F52,M$3+6&gt;=$E52),"■","")</x:f>
      </x:c>
      <x:c r="N52" s="36" t="str">
        <x:f>IF(AND(N$3&lt;=$F52,N$3+6&gt;=$E52),"■","")</x:f>
      </x:c>
      <x:c r="O52" s="36" t="str">
        <x:f>IF(AND(O$3&lt;=$F52,O$3+6&gt;=$E52),"■","")</x:f>
      </x:c>
      <x:c r="P52" s="36" t="str">
        <x:f>IF(AND(P$3&lt;=$F52,P$3+6&gt;=$E52),"■","")</x:f>
      </x:c>
      <x:c r="Q52" s="36" t="str">
        <x:f>IF(AND(Q$3&lt;=$F52,Q$3+6&gt;=$E52),"■","")</x:f>
      </x:c>
      <x:c r="R52" s="36" t="str">
        <x:f>IF(AND(R$3&lt;=$F52,R$3+6&gt;=$E52),"■","")</x:f>
      </x:c>
      <x:c r="S52" s="36" t="str">
        <x:f>IF(AND(S$3&lt;=$F52,S$3+6&gt;=$E52),"■","")</x:f>
      </x:c>
      <x:c r="T52" s="36" t="str">
        <x:f>IF(AND(T$3&lt;=$F52,T$3+6&gt;=$E52),"■","")</x:f>
      </x:c>
      <x:c r="U52" s="36" t="str">
        <x:f>IF(AND(U$3&lt;=$F52,U$3+6&gt;=$E52),"■","")</x:f>
      </x:c>
      <x:c r="V52" s="36" t="str">
        <x:f>IF(AND(V$3&lt;=$F52,V$3+6&gt;=$E52),"■","")</x:f>
      </x:c>
      <x:c r="W52" s="36" t="str">
        <x:f>IF(AND(W$3&lt;=$F52,W$3+6&gt;=$E52),"■","")</x:f>
      </x:c>
      <x:c r="X52" s="36" t="str">
        <x:f>IF(AND(X$3&lt;=$F52,X$3+6&gt;=$E52),"■","")</x:f>
      </x:c>
      <x:c r="Y52" s="36" t="str">
        <x:f>IF(AND(Y$3&lt;=$F52,Y$3+6&gt;=$E52),"■","")</x:f>
      </x:c>
      <x:c r="Z52" s="36" t="str">
        <x:f>IF(AND(Z$3&lt;=$F52,Z$3+6&gt;=$E52),"■","")</x:f>
      </x:c>
      <x:c r="AA52" s="36" t="str">
        <x:f>IF(AND(AA$3&lt;=$F52,AA$3+6&gt;=$E52),"■","")</x:f>
      </x:c>
      <x:c r="AB52" s="36" t="str">
        <x:f>IF(AND(AB$3&lt;=$F52,AB$3+6&gt;=$E52),"■","")</x:f>
      </x:c>
      <x:c r="AC52" s="36" t="str">
        <x:f>IF(AND(AC$3&lt;=$F52,AC$3+6&gt;=$E52),"■","")</x:f>
        <x:v>■</x:v>
      </x:c>
      <x:c r="AD52" s="36" t="str">
        <x:f>IF(AND(AD$3&lt;=$F52,AD$3+6&gt;=$E52),"■","")</x:f>
        <x:v>■</x:v>
      </x:c>
      <x:c r="AE52" s="36" t="str">
        <x:f>IF(AND(AE$3&lt;=$F52,AE$3+6&gt;=$E52),"■","")</x:f>
        <x:v>■</x:v>
      </x:c>
      <x:c r="AF52" s="36" t="str">
        <x:f>IF(AND(AF$3&lt;=$F52,AF$3+6&gt;=$E52),"■","")</x:f>
        <x:v>■</x:v>
      </x:c>
      <x:c r="AG52" s="36" t="str">
        <x:f>IF(AND(AG$3&lt;=$F52,AG$3+6&gt;=$E52),"■","")</x:f>
        <x:v>■</x:v>
      </x:c>
      <x:c r="AH52" s="36" t="str">
        <x:f>IF(AND(AH$3&lt;=$F52,AH$3+6&gt;=$E52),"■","")</x:f>
      </x:c>
      <x:c r="AI52" s="36" t="str">
        <x:f>IF(AND(AI$3&lt;=$F52,AI$3+6&gt;=$E52),"■","")</x:f>
      </x:c>
      <x:c r="AJ52" s="36" t="str">
        <x:f>IF(AND(AJ$3&lt;=$F52,AJ$3+6&gt;=$E52),"■","")</x:f>
      </x:c>
      <x:c r="AK52" s="36" t="str">
        <x:f>IF(AND(AK$3&lt;=$F52,AK$3+6&gt;=$E52),"■","")</x:f>
      </x:c>
      <x:c r="AL52" s="36" t="str">
        <x:f>IF(AND(AL$3&lt;=$F52,AL$3+6&gt;=$E52),"■","")</x:f>
      </x:c>
      <x:c r="AM52" s="36" t="str">
        <x:f>IF(AND(AM$3&lt;=$F52,AM$3+6&gt;=$E52),"■","")</x:f>
      </x:c>
      <x:c r="AN52" s="36" t="str">
        <x:f>IF(AND(AN$3&lt;=$F52,AN$3+6&gt;=$E52),"■","")</x:f>
      </x:c>
      <x:c r="AO52" s="36" t="str">
        <x:f>IF(AND(AO$3&lt;=$F52,AO$3+6&gt;=$E52),"■","")</x:f>
      </x:c>
      <x:c r="AP52" s="36" t="str">
        <x:f>IF(AND(AP$3&lt;=$F52,AP$3+6&gt;=$E52),"■","")</x:f>
      </x:c>
      <x:c r="AQ52" s="36" t="str">
        <x:f>IF(AND(AQ$3&lt;=$F52,AQ$3+6&gt;=$E52),"■","")</x:f>
      </x:c>
      <x:c r="AR52" s="36" t="str">
        <x:f>IF(AND(AR$3&lt;=$F52,AR$3+6&gt;=$E52),"■","")</x:f>
      </x:c>
      <x:c r="AS52" s="36" t="str">
        <x:f>IF(AND(AS$3&lt;=$F52,AS$3+6&gt;=$E52),"■","")</x:f>
      </x:c>
    </x:row>
    <x:row r="53">
      <x:c r="A53" s="27" t="str">
        <x:v>AT-073</x:v>
      </x:c>
      <x:c r="B53" s="27" t="str">
        <x:v>6.2.2</x:v>
      </x:c>
      <x:c r="C53" s="27" t="str">
        <x:v>Deliver user training and track completion</x:v>
      </x:c>
      <x:c r="D53" s="27" t="str">
        <x:v>Change &amp; Training Lead</x:v>
      </x:c>
      <x:c r="E53" s="35" t="n">
        <x:v>46216</x:v>
      </x:c>
      <x:c r="F53" s="35" t="n">
        <x:v>46241</x:v>
      </x:c>
      <x:c r="G53" s="36" t="str">
        <x:f>IF(AND(G$3&lt;=$F53,G$3+6&gt;=$E53),"■","")</x:f>
      </x:c>
      <x:c r="H53" s="36" t="str">
        <x:f>IF(AND(H$3&lt;=$F53,H$3+6&gt;=$E53),"■","")</x:f>
      </x:c>
      <x:c r="I53" s="36" t="str">
        <x:f>IF(AND(I$3&lt;=$F53,I$3+6&gt;=$E53),"■","")</x:f>
      </x:c>
      <x:c r="J53" s="36" t="str">
        <x:f>IF(AND(J$3&lt;=$F53,J$3+6&gt;=$E53),"■","")</x:f>
      </x:c>
      <x:c r="K53" s="36" t="str">
        <x:f>IF(AND(K$3&lt;=$F53,K$3+6&gt;=$E53),"■","")</x:f>
      </x:c>
      <x:c r="L53" s="36" t="str">
        <x:f>IF(AND(L$3&lt;=$F53,L$3+6&gt;=$E53),"■","")</x:f>
      </x:c>
      <x:c r="M53" s="36" t="str">
        <x:f>IF(AND(M$3&lt;=$F53,M$3+6&gt;=$E53),"■","")</x:f>
      </x:c>
      <x:c r="N53" s="36" t="str">
        <x:f>IF(AND(N$3&lt;=$F53,N$3+6&gt;=$E53),"■","")</x:f>
      </x:c>
      <x:c r="O53" s="36" t="str">
        <x:f>IF(AND(O$3&lt;=$F53,O$3+6&gt;=$E53),"■","")</x:f>
      </x:c>
      <x:c r="P53" s="36" t="str">
        <x:f>IF(AND(P$3&lt;=$F53,P$3+6&gt;=$E53),"■","")</x:f>
      </x:c>
      <x:c r="Q53" s="36" t="str">
        <x:f>IF(AND(Q$3&lt;=$F53,Q$3+6&gt;=$E53),"■","")</x:f>
      </x:c>
      <x:c r="R53" s="36" t="str">
        <x:f>IF(AND(R$3&lt;=$F53,R$3+6&gt;=$E53),"■","")</x:f>
      </x:c>
      <x:c r="S53" s="36" t="str">
        <x:f>IF(AND(S$3&lt;=$F53,S$3+6&gt;=$E53),"■","")</x:f>
      </x:c>
      <x:c r="T53" s="36" t="str">
        <x:f>IF(AND(T$3&lt;=$F53,T$3+6&gt;=$E53),"■","")</x:f>
      </x:c>
      <x:c r="U53" s="36" t="str">
        <x:f>IF(AND(U$3&lt;=$F53,U$3+6&gt;=$E53),"■","")</x:f>
      </x:c>
      <x:c r="V53" s="36" t="str">
        <x:f>IF(AND(V$3&lt;=$F53,V$3+6&gt;=$E53),"■","")</x:f>
      </x:c>
      <x:c r="W53" s="36" t="str">
        <x:f>IF(AND(W$3&lt;=$F53,W$3+6&gt;=$E53),"■","")</x:f>
      </x:c>
      <x:c r="X53" s="36" t="str">
        <x:f>IF(AND(X$3&lt;=$F53,X$3+6&gt;=$E53),"■","")</x:f>
      </x:c>
      <x:c r="Y53" s="36" t="str">
        <x:f>IF(AND(Y$3&lt;=$F53,Y$3+6&gt;=$E53),"■","")</x:f>
      </x:c>
      <x:c r="Z53" s="36" t="str">
        <x:f>IF(AND(Z$3&lt;=$F53,Z$3+6&gt;=$E53),"■","")</x:f>
      </x:c>
      <x:c r="AA53" s="36" t="str">
        <x:f>IF(AND(AA$3&lt;=$F53,AA$3+6&gt;=$E53),"■","")</x:f>
      </x:c>
      <x:c r="AB53" s="36" t="str">
        <x:f>IF(AND(AB$3&lt;=$F53,AB$3+6&gt;=$E53),"■","")</x:f>
      </x:c>
      <x:c r="AC53" s="36" t="str">
        <x:f>IF(AND(AC$3&lt;=$F53,AC$3+6&gt;=$E53),"■","")</x:f>
      </x:c>
      <x:c r="AD53" s="36" t="str">
        <x:f>IF(AND(AD$3&lt;=$F53,AD$3+6&gt;=$E53),"■","")</x:f>
      </x:c>
      <x:c r="AE53" s="36" t="str">
        <x:f>IF(AND(AE$3&lt;=$F53,AE$3+6&gt;=$E53),"■","")</x:f>
      </x:c>
      <x:c r="AF53" s="36" t="str">
        <x:f>IF(AND(AF$3&lt;=$F53,AF$3+6&gt;=$E53),"■","")</x:f>
      </x:c>
      <x:c r="AG53" s="36" t="str">
        <x:f>IF(AND(AG$3&lt;=$F53,AG$3+6&gt;=$E53),"■","")</x:f>
      </x:c>
      <x:c r="AH53" s="36" t="str">
        <x:f>IF(AND(AH$3&lt;=$F53,AH$3+6&gt;=$E53),"■","")</x:f>
        <x:v>■</x:v>
      </x:c>
      <x:c r="AI53" s="36" t="str">
        <x:f>IF(AND(AI$3&lt;=$F53,AI$3+6&gt;=$E53),"■","")</x:f>
        <x:v>■</x:v>
      </x:c>
      <x:c r="AJ53" s="36" t="str">
        <x:f>IF(AND(AJ$3&lt;=$F53,AJ$3+6&gt;=$E53),"■","")</x:f>
        <x:v>■</x:v>
      </x:c>
      <x:c r="AK53" s="36" t="str">
        <x:f>IF(AND(AK$3&lt;=$F53,AK$3+6&gt;=$E53),"■","")</x:f>
        <x:v>■</x:v>
      </x:c>
      <x:c r="AL53" s="36" t="str">
        <x:f>IF(AND(AL$3&lt;=$F53,AL$3+6&gt;=$E53),"■","")</x:f>
      </x:c>
      <x:c r="AM53" s="36" t="str">
        <x:f>IF(AND(AM$3&lt;=$F53,AM$3+6&gt;=$E53),"■","")</x:f>
      </x:c>
      <x:c r="AN53" s="36" t="str">
        <x:f>IF(AND(AN$3&lt;=$F53,AN$3+6&gt;=$E53),"■","")</x:f>
      </x:c>
      <x:c r="AO53" s="36" t="str">
        <x:f>IF(AND(AO$3&lt;=$F53,AO$3+6&gt;=$E53),"■","")</x:f>
      </x:c>
      <x:c r="AP53" s="36" t="str">
        <x:f>IF(AND(AP$3&lt;=$F53,AP$3+6&gt;=$E53),"■","")</x:f>
      </x:c>
      <x:c r="AQ53" s="36" t="str">
        <x:f>IF(AND(AQ$3&lt;=$F53,AQ$3+6&gt;=$E53),"■","")</x:f>
      </x:c>
      <x:c r="AR53" s="36" t="str">
        <x:f>IF(AND(AR$3&lt;=$F53,AR$3+6&gt;=$E53),"■","")</x:f>
      </x:c>
      <x:c r="AS53" s="36" t="str">
        <x:f>IF(AND(AS$3&lt;=$F53,AS$3+6&gt;=$E53),"■","")</x:f>
      </x:c>
    </x:row>
    <x:row r="54">
      <x:c r="A54" s="27" t="str">
        <x:v>AT-080</x:v>
      </x:c>
      <x:c r="B54" s="27" t="str">
        <x:v>7.1.2</x:v>
      </x:c>
      <x:c r="C54" s="27" t="str">
        <x:v>Develop cutover and rollback plan</x:v>
      </x:c>
      <x:c r="D54" s="27" t="str">
        <x:v>Validation &amp; Deployment Lead</x:v>
      </x:c>
      <x:c r="E54" s="35" t="n">
        <x:v>46223</x:v>
      </x:c>
      <x:c r="F54" s="35" t="n">
        <x:v>46241</x:v>
      </x:c>
      <x:c r="G54" s="36" t="str">
        <x:f>IF(AND(G$3&lt;=$F54,G$3+6&gt;=$E54),"■","")</x:f>
      </x:c>
      <x:c r="H54" s="36" t="str">
        <x:f>IF(AND(H$3&lt;=$F54,H$3+6&gt;=$E54),"■","")</x:f>
      </x:c>
      <x:c r="I54" s="36" t="str">
        <x:f>IF(AND(I$3&lt;=$F54,I$3+6&gt;=$E54),"■","")</x:f>
      </x:c>
      <x:c r="J54" s="36" t="str">
        <x:f>IF(AND(J$3&lt;=$F54,J$3+6&gt;=$E54),"■","")</x:f>
      </x:c>
      <x:c r="K54" s="36" t="str">
        <x:f>IF(AND(K$3&lt;=$F54,K$3+6&gt;=$E54),"■","")</x:f>
      </x:c>
      <x:c r="L54" s="36" t="str">
        <x:f>IF(AND(L$3&lt;=$F54,L$3+6&gt;=$E54),"■","")</x:f>
      </x:c>
      <x:c r="M54" s="36" t="str">
        <x:f>IF(AND(M$3&lt;=$F54,M$3+6&gt;=$E54),"■","")</x:f>
      </x:c>
      <x:c r="N54" s="36" t="str">
        <x:f>IF(AND(N$3&lt;=$F54,N$3+6&gt;=$E54),"■","")</x:f>
      </x:c>
      <x:c r="O54" s="36" t="str">
        <x:f>IF(AND(O$3&lt;=$F54,O$3+6&gt;=$E54),"■","")</x:f>
      </x:c>
      <x:c r="P54" s="36" t="str">
        <x:f>IF(AND(P$3&lt;=$F54,P$3+6&gt;=$E54),"■","")</x:f>
      </x:c>
      <x:c r="Q54" s="36" t="str">
        <x:f>IF(AND(Q$3&lt;=$F54,Q$3+6&gt;=$E54),"■","")</x:f>
      </x:c>
      <x:c r="R54" s="36" t="str">
        <x:f>IF(AND(R$3&lt;=$F54,R$3+6&gt;=$E54),"■","")</x:f>
      </x:c>
      <x:c r="S54" s="36" t="str">
        <x:f>IF(AND(S$3&lt;=$F54,S$3+6&gt;=$E54),"■","")</x:f>
      </x:c>
      <x:c r="T54" s="36" t="str">
        <x:f>IF(AND(T$3&lt;=$F54,T$3+6&gt;=$E54),"■","")</x:f>
      </x:c>
      <x:c r="U54" s="36" t="str">
        <x:f>IF(AND(U$3&lt;=$F54,U$3+6&gt;=$E54),"■","")</x:f>
      </x:c>
      <x:c r="V54" s="36" t="str">
        <x:f>IF(AND(V$3&lt;=$F54,V$3+6&gt;=$E54),"■","")</x:f>
      </x:c>
      <x:c r="W54" s="36" t="str">
        <x:f>IF(AND(W$3&lt;=$F54,W$3+6&gt;=$E54),"■","")</x:f>
      </x:c>
      <x:c r="X54" s="36" t="str">
        <x:f>IF(AND(X$3&lt;=$F54,X$3+6&gt;=$E54),"■","")</x:f>
      </x:c>
      <x:c r="Y54" s="36" t="str">
        <x:f>IF(AND(Y$3&lt;=$F54,Y$3+6&gt;=$E54),"■","")</x:f>
      </x:c>
      <x:c r="Z54" s="36" t="str">
        <x:f>IF(AND(Z$3&lt;=$F54,Z$3+6&gt;=$E54),"■","")</x:f>
      </x:c>
      <x:c r="AA54" s="36" t="str">
        <x:f>IF(AND(AA$3&lt;=$F54,AA$3+6&gt;=$E54),"■","")</x:f>
      </x:c>
      <x:c r="AB54" s="36" t="str">
        <x:f>IF(AND(AB$3&lt;=$F54,AB$3+6&gt;=$E54),"■","")</x:f>
      </x:c>
      <x:c r="AC54" s="36" t="str">
        <x:f>IF(AND(AC$3&lt;=$F54,AC$3+6&gt;=$E54),"■","")</x:f>
      </x:c>
      <x:c r="AD54" s="36" t="str">
        <x:f>IF(AND(AD$3&lt;=$F54,AD$3+6&gt;=$E54),"■","")</x:f>
      </x:c>
      <x:c r="AE54" s="36" t="str">
        <x:f>IF(AND(AE$3&lt;=$F54,AE$3+6&gt;=$E54),"■","")</x:f>
      </x:c>
      <x:c r="AF54" s="36" t="str">
        <x:f>IF(AND(AF$3&lt;=$F54,AF$3+6&gt;=$E54),"■","")</x:f>
      </x:c>
      <x:c r="AG54" s="36" t="str">
        <x:f>IF(AND(AG$3&lt;=$F54,AG$3+6&gt;=$E54),"■","")</x:f>
      </x:c>
      <x:c r="AH54" s="36" t="str">
        <x:f>IF(AND(AH$3&lt;=$F54,AH$3+6&gt;=$E54),"■","")</x:f>
      </x:c>
      <x:c r="AI54" s="36" t="str">
        <x:f>IF(AND(AI$3&lt;=$F54,AI$3+6&gt;=$E54),"■","")</x:f>
        <x:v>■</x:v>
      </x:c>
      <x:c r="AJ54" s="36" t="str">
        <x:f>IF(AND(AJ$3&lt;=$F54,AJ$3+6&gt;=$E54),"■","")</x:f>
        <x:v>■</x:v>
      </x:c>
      <x:c r="AK54" s="36" t="str">
        <x:f>IF(AND(AK$3&lt;=$F54,AK$3+6&gt;=$E54),"■","")</x:f>
        <x:v>■</x:v>
      </x:c>
      <x:c r="AL54" s="36" t="str">
        <x:f>IF(AND(AL$3&lt;=$F54,AL$3+6&gt;=$E54),"■","")</x:f>
      </x:c>
      <x:c r="AM54" s="36" t="str">
        <x:f>IF(AND(AM$3&lt;=$F54,AM$3+6&gt;=$E54),"■","")</x:f>
      </x:c>
      <x:c r="AN54" s="36" t="str">
        <x:f>IF(AND(AN$3&lt;=$F54,AN$3+6&gt;=$E54),"■","")</x:f>
      </x:c>
      <x:c r="AO54" s="36" t="str">
        <x:f>IF(AND(AO$3&lt;=$F54,AO$3+6&gt;=$E54),"■","")</x:f>
      </x:c>
      <x:c r="AP54" s="36" t="str">
        <x:f>IF(AND(AP$3&lt;=$F54,AP$3+6&gt;=$E54),"■","")</x:f>
      </x:c>
      <x:c r="AQ54" s="36" t="str">
        <x:f>IF(AND(AQ$3&lt;=$F54,AQ$3+6&gt;=$E54),"■","")</x:f>
      </x:c>
      <x:c r="AR54" s="36" t="str">
        <x:f>IF(AND(AR$3&lt;=$F54,AR$3+6&gt;=$E54),"■","")</x:f>
      </x:c>
      <x:c r="AS54" s="36" t="str">
        <x:f>IF(AND(AS$3&lt;=$F54,AS$3+6&gt;=$E54),"■","")</x:f>
      </x:c>
    </x:row>
    <x:row r="55">
      <x:c r="A55" s="27" t="str">
        <x:v>AT-081</x:v>
      </x:c>
      <x:c r="B55" s="27" t="str">
        <x:v>7.1.1</x:v>
      </x:c>
      <x:c r="C55" s="27" t="str">
        <x:v>Production readiness assessment</x:v>
      </x:c>
      <x:c r="D55" s="27" t="str">
        <x:v>Validation &amp; Deployment Lead</x:v>
      </x:c>
      <x:c r="E55" s="35" t="n">
        <x:v>46237</x:v>
      </x:c>
      <x:c r="F55" s="35" t="n">
        <x:v>46248</x:v>
      </x:c>
      <x:c r="G55" s="36" t="str">
        <x:f>IF(AND(G$3&lt;=$F55,G$3+6&gt;=$E55),"■","")</x:f>
      </x:c>
      <x:c r="H55" s="36" t="str">
        <x:f>IF(AND(H$3&lt;=$F55,H$3+6&gt;=$E55),"■","")</x:f>
      </x:c>
      <x:c r="I55" s="36" t="str">
        <x:f>IF(AND(I$3&lt;=$F55,I$3+6&gt;=$E55),"■","")</x:f>
      </x:c>
      <x:c r="J55" s="36" t="str">
        <x:f>IF(AND(J$3&lt;=$F55,J$3+6&gt;=$E55),"■","")</x:f>
      </x:c>
      <x:c r="K55" s="36" t="str">
        <x:f>IF(AND(K$3&lt;=$F55,K$3+6&gt;=$E55),"■","")</x:f>
      </x:c>
      <x:c r="L55" s="36" t="str">
        <x:f>IF(AND(L$3&lt;=$F55,L$3+6&gt;=$E55),"■","")</x:f>
      </x:c>
      <x:c r="M55" s="36" t="str">
        <x:f>IF(AND(M$3&lt;=$F55,M$3+6&gt;=$E55),"■","")</x:f>
      </x:c>
      <x:c r="N55" s="36" t="str">
        <x:f>IF(AND(N$3&lt;=$F55,N$3+6&gt;=$E55),"■","")</x:f>
      </x:c>
      <x:c r="O55" s="36" t="str">
        <x:f>IF(AND(O$3&lt;=$F55,O$3+6&gt;=$E55),"■","")</x:f>
      </x:c>
      <x:c r="P55" s="36" t="str">
        <x:f>IF(AND(P$3&lt;=$F55,P$3+6&gt;=$E55),"■","")</x:f>
      </x:c>
      <x:c r="Q55" s="36" t="str">
        <x:f>IF(AND(Q$3&lt;=$F55,Q$3+6&gt;=$E55),"■","")</x:f>
      </x:c>
      <x:c r="R55" s="36" t="str">
        <x:f>IF(AND(R$3&lt;=$F55,R$3+6&gt;=$E55),"■","")</x:f>
      </x:c>
      <x:c r="S55" s="36" t="str">
        <x:f>IF(AND(S$3&lt;=$F55,S$3+6&gt;=$E55),"■","")</x:f>
      </x:c>
      <x:c r="T55" s="36" t="str">
        <x:f>IF(AND(T$3&lt;=$F55,T$3+6&gt;=$E55),"■","")</x:f>
      </x:c>
      <x:c r="U55" s="36" t="str">
        <x:f>IF(AND(U$3&lt;=$F55,U$3+6&gt;=$E55),"■","")</x:f>
      </x:c>
      <x:c r="V55" s="36" t="str">
        <x:f>IF(AND(V$3&lt;=$F55,V$3+6&gt;=$E55),"■","")</x:f>
      </x:c>
      <x:c r="W55" s="36" t="str">
        <x:f>IF(AND(W$3&lt;=$F55,W$3+6&gt;=$E55),"■","")</x:f>
      </x:c>
      <x:c r="X55" s="36" t="str">
        <x:f>IF(AND(X$3&lt;=$F55,X$3+6&gt;=$E55),"■","")</x:f>
      </x:c>
      <x:c r="Y55" s="36" t="str">
        <x:f>IF(AND(Y$3&lt;=$F55,Y$3+6&gt;=$E55),"■","")</x:f>
      </x:c>
      <x:c r="Z55" s="36" t="str">
        <x:f>IF(AND(Z$3&lt;=$F55,Z$3+6&gt;=$E55),"■","")</x:f>
      </x:c>
      <x:c r="AA55" s="36" t="str">
        <x:f>IF(AND(AA$3&lt;=$F55,AA$3+6&gt;=$E55),"■","")</x:f>
      </x:c>
      <x:c r="AB55" s="36" t="str">
        <x:f>IF(AND(AB$3&lt;=$F55,AB$3+6&gt;=$E55),"■","")</x:f>
      </x:c>
      <x:c r="AC55" s="36" t="str">
        <x:f>IF(AND(AC$3&lt;=$F55,AC$3+6&gt;=$E55),"■","")</x:f>
      </x:c>
      <x:c r="AD55" s="36" t="str">
        <x:f>IF(AND(AD$3&lt;=$F55,AD$3+6&gt;=$E55),"■","")</x:f>
      </x:c>
      <x:c r="AE55" s="36" t="str">
        <x:f>IF(AND(AE$3&lt;=$F55,AE$3+6&gt;=$E55),"■","")</x:f>
      </x:c>
      <x:c r="AF55" s="36" t="str">
        <x:f>IF(AND(AF$3&lt;=$F55,AF$3+6&gt;=$E55),"■","")</x:f>
      </x:c>
      <x:c r="AG55" s="36" t="str">
        <x:f>IF(AND(AG$3&lt;=$F55,AG$3+6&gt;=$E55),"■","")</x:f>
      </x:c>
      <x:c r="AH55" s="36" t="str">
        <x:f>IF(AND(AH$3&lt;=$F55,AH$3+6&gt;=$E55),"■","")</x:f>
      </x:c>
      <x:c r="AI55" s="36" t="str">
        <x:f>IF(AND(AI$3&lt;=$F55,AI$3+6&gt;=$E55),"■","")</x:f>
      </x:c>
      <x:c r="AJ55" s="36" t="str">
        <x:f>IF(AND(AJ$3&lt;=$F55,AJ$3+6&gt;=$E55),"■","")</x:f>
      </x:c>
      <x:c r="AK55" s="36" t="str">
        <x:f>IF(AND(AK$3&lt;=$F55,AK$3+6&gt;=$E55),"■","")</x:f>
        <x:v>■</x:v>
      </x:c>
      <x:c r="AL55" s="36" t="str">
        <x:f>IF(AND(AL$3&lt;=$F55,AL$3+6&gt;=$E55),"■","")</x:f>
        <x:v>■</x:v>
      </x:c>
      <x:c r="AM55" s="36" t="str">
        <x:f>IF(AND(AM$3&lt;=$F55,AM$3+6&gt;=$E55),"■","")</x:f>
      </x:c>
      <x:c r="AN55" s="36" t="str">
        <x:f>IF(AND(AN$3&lt;=$F55,AN$3+6&gt;=$E55),"■","")</x:f>
      </x:c>
      <x:c r="AO55" s="36" t="str">
        <x:f>IF(AND(AO$3&lt;=$F55,AO$3+6&gt;=$E55),"■","")</x:f>
      </x:c>
      <x:c r="AP55" s="36" t="str">
        <x:f>IF(AND(AP$3&lt;=$F55,AP$3+6&gt;=$E55),"■","")</x:f>
      </x:c>
      <x:c r="AQ55" s="36" t="str">
        <x:f>IF(AND(AQ$3&lt;=$F55,AQ$3+6&gt;=$E55),"■","")</x:f>
      </x:c>
      <x:c r="AR55" s="36" t="str">
        <x:f>IF(AND(AR$3&lt;=$F55,AR$3+6&gt;=$E55),"■","")</x:f>
      </x:c>
      <x:c r="AS55" s="36" t="str">
        <x:f>IF(AND(AS$3&lt;=$F55,AS$3+6&gt;=$E55),"■","")</x:f>
      </x:c>
    </x:row>
    <x:row r="56">
      <x:c r="A56" s="27" t="str">
        <x:v>AT-082</x:v>
      </x:c>
      <x:c r="B56" s="27" t="str">
        <x:v>7.1.3</x:v>
      </x:c>
      <x:c r="C56" s="27" t="str">
        <x:v>Go / No-Go approval</x:v>
      </x:c>
      <x:c r="D56" s="27" t="str">
        <x:v>Steering Committee</x:v>
      </x:c>
      <x:c r="E56" s="35" t="n">
        <x:v>46251</x:v>
      </x:c>
      <x:c r="F56" s="35" t="n">
        <x:v>46251</x:v>
      </x:c>
      <x:c r="G56" s="36" t="str">
        <x:f>IF(AND(G$3&lt;=$F56,G$3+6&gt;=$E56),"■","")</x:f>
      </x:c>
      <x:c r="H56" s="36" t="str">
        <x:f>IF(AND(H$3&lt;=$F56,H$3+6&gt;=$E56),"■","")</x:f>
      </x:c>
      <x:c r="I56" s="36" t="str">
        <x:f>IF(AND(I$3&lt;=$F56,I$3+6&gt;=$E56),"■","")</x:f>
      </x:c>
      <x:c r="J56" s="36" t="str">
        <x:f>IF(AND(J$3&lt;=$F56,J$3+6&gt;=$E56),"■","")</x:f>
      </x:c>
      <x:c r="K56" s="36" t="str">
        <x:f>IF(AND(K$3&lt;=$F56,K$3+6&gt;=$E56),"■","")</x:f>
      </x:c>
      <x:c r="L56" s="36" t="str">
        <x:f>IF(AND(L$3&lt;=$F56,L$3+6&gt;=$E56),"■","")</x:f>
      </x:c>
      <x:c r="M56" s="36" t="str">
        <x:f>IF(AND(M$3&lt;=$F56,M$3+6&gt;=$E56),"■","")</x:f>
      </x:c>
      <x:c r="N56" s="36" t="str">
        <x:f>IF(AND(N$3&lt;=$F56,N$3+6&gt;=$E56),"■","")</x:f>
      </x:c>
      <x:c r="O56" s="36" t="str">
        <x:f>IF(AND(O$3&lt;=$F56,O$3+6&gt;=$E56),"■","")</x:f>
      </x:c>
      <x:c r="P56" s="36" t="str">
        <x:f>IF(AND(P$3&lt;=$F56,P$3+6&gt;=$E56),"■","")</x:f>
      </x:c>
      <x:c r="Q56" s="36" t="str">
        <x:f>IF(AND(Q$3&lt;=$F56,Q$3+6&gt;=$E56),"■","")</x:f>
      </x:c>
      <x:c r="R56" s="36" t="str">
        <x:f>IF(AND(R$3&lt;=$F56,R$3+6&gt;=$E56),"■","")</x:f>
      </x:c>
      <x:c r="S56" s="36" t="str">
        <x:f>IF(AND(S$3&lt;=$F56,S$3+6&gt;=$E56),"■","")</x:f>
      </x:c>
      <x:c r="T56" s="36" t="str">
        <x:f>IF(AND(T$3&lt;=$F56,T$3+6&gt;=$E56),"■","")</x:f>
      </x:c>
      <x:c r="U56" s="36" t="str">
        <x:f>IF(AND(U$3&lt;=$F56,U$3+6&gt;=$E56),"■","")</x:f>
      </x:c>
      <x:c r="V56" s="36" t="str">
        <x:f>IF(AND(V$3&lt;=$F56,V$3+6&gt;=$E56),"■","")</x:f>
      </x:c>
      <x:c r="W56" s="36" t="str">
        <x:f>IF(AND(W$3&lt;=$F56,W$3+6&gt;=$E56),"■","")</x:f>
      </x:c>
      <x:c r="X56" s="36" t="str">
        <x:f>IF(AND(X$3&lt;=$F56,X$3+6&gt;=$E56),"■","")</x:f>
      </x:c>
      <x:c r="Y56" s="36" t="str">
        <x:f>IF(AND(Y$3&lt;=$F56,Y$3+6&gt;=$E56),"■","")</x:f>
      </x:c>
      <x:c r="Z56" s="36" t="str">
        <x:f>IF(AND(Z$3&lt;=$F56,Z$3+6&gt;=$E56),"■","")</x:f>
      </x:c>
      <x:c r="AA56" s="36" t="str">
        <x:f>IF(AND(AA$3&lt;=$F56,AA$3+6&gt;=$E56),"■","")</x:f>
      </x:c>
      <x:c r="AB56" s="36" t="str">
        <x:f>IF(AND(AB$3&lt;=$F56,AB$3+6&gt;=$E56),"■","")</x:f>
      </x:c>
      <x:c r="AC56" s="36" t="str">
        <x:f>IF(AND(AC$3&lt;=$F56,AC$3+6&gt;=$E56),"■","")</x:f>
      </x:c>
      <x:c r="AD56" s="36" t="str">
        <x:f>IF(AND(AD$3&lt;=$F56,AD$3+6&gt;=$E56),"■","")</x:f>
      </x:c>
      <x:c r="AE56" s="36" t="str">
        <x:f>IF(AND(AE$3&lt;=$F56,AE$3+6&gt;=$E56),"■","")</x:f>
      </x:c>
      <x:c r="AF56" s="36" t="str">
        <x:f>IF(AND(AF$3&lt;=$F56,AF$3+6&gt;=$E56),"■","")</x:f>
      </x:c>
      <x:c r="AG56" s="36" t="str">
        <x:f>IF(AND(AG$3&lt;=$F56,AG$3+6&gt;=$E56),"■","")</x:f>
      </x:c>
      <x:c r="AH56" s="36" t="str">
        <x:f>IF(AND(AH$3&lt;=$F56,AH$3+6&gt;=$E56),"■","")</x:f>
      </x:c>
      <x:c r="AI56" s="36" t="str">
        <x:f>IF(AND(AI$3&lt;=$F56,AI$3+6&gt;=$E56),"■","")</x:f>
      </x:c>
      <x:c r="AJ56" s="36" t="str">
        <x:f>IF(AND(AJ$3&lt;=$F56,AJ$3+6&gt;=$E56),"■","")</x:f>
      </x:c>
      <x:c r="AK56" s="36" t="str">
        <x:f>IF(AND(AK$3&lt;=$F56,AK$3+6&gt;=$E56),"■","")</x:f>
      </x:c>
      <x:c r="AL56" s="36" t="str">
        <x:f>IF(AND(AL$3&lt;=$F56,AL$3+6&gt;=$E56),"■","")</x:f>
      </x:c>
      <x:c r="AM56" s="36" t="str">
        <x:f>IF(AND(AM$3&lt;=$F56,AM$3+6&gt;=$E56),"■","")</x:f>
        <x:v>■</x:v>
      </x:c>
      <x:c r="AN56" s="36" t="str">
        <x:f>IF(AND(AN$3&lt;=$F56,AN$3+6&gt;=$E56),"■","")</x:f>
      </x:c>
      <x:c r="AO56" s="36" t="str">
        <x:f>IF(AND(AO$3&lt;=$F56,AO$3+6&gt;=$E56),"■","")</x:f>
      </x:c>
      <x:c r="AP56" s="36" t="str">
        <x:f>IF(AND(AP$3&lt;=$F56,AP$3+6&gt;=$E56),"■","")</x:f>
      </x:c>
      <x:c r="AQ56" s="36" t="str">
        <x:f>IF(AND(AQ$3&lt;=$F56,AQ$3+6&gt;=$E56),"■","")</x:f>
      </x:c>
      <x:c r="AR56" s="36" t="str">
        <x:f>IF(AND(AR$3&lt;=$F56,AR$3+6&gt;=$E56),"■","")</x:f>
      </x:c>
      <x:c r="AS56" s="36" t="str">
        <x:f>IF(AND(AS$3&lt;=$F56,AS$3+6&gt;=$E56),"■","")</x:f>
      </x:c>
    </x:row>
    <x:row r="57">
      <x:c r="A57" s="27" t="str">
        <x:v>AT-083</x:v>
      </x:c>
      <x:c r="B57" s="27" t="str">
        <x:v>4.2.4</x:v>
      </x:c>
      <x:c r="C57" s="27" t="str">
        <x:v>Production data migration and reconciliation</x:v>
      </x:c>
      <x:c r="D57" s="27" t="str">
        <x:v>Integration &amp; Data Migration Lead</x:v>
      </x:c>
      <x:c r="E57" s="35" t="n">
        <x:v>46254</x:v>
      </x:c>
      <x:c r="F57" s="35" t="n">
        <x:v>46255</x:v>
      </x:c>
      <x:c r="G57" s="36" t="str">
        <x:f>IF(AND(G$3&lt;=$F57,G$3+6&gt;=$E57),"■","")</x:f>
      </x:c>
      <x:c r="H57" s="36" t="str">
        <x:f>IF(AND(H$3&lt;=$F57,H$3+6&gt;=$E57),"■","")</x:f>
      </x:c>
      <x:c r="I57" s="36" t="str">
        <x:f>IF(AND(I$3&lt;=$F57,I$3+6&gt;=$E57),"■","")</x:f>
      </x:c>
      <x:c r="J57" s="36" t="str">
        <x:f>IF(AND(J$3&lt;=$F57,J$3+6&gt;=$E57),"■","")</x:f>
      </x:c>
      <x:c r="K57" s="36" t="str">
        <x:f>IF(AND(K$3&lt;=$F57,K$3+6&gt;=$E57),"■","")</x:f>
      </x:c>
      <x:c r="L57" s="36" t="str">
        <x:f>IF(AND(L$3&lt;=$F57,L$3+6&gt;=$E57),"■","")</x:f>
      </x:c>
      <x:c r="M57" s="36" t="str">
        <x:f>IF(AND(M$3&lt;=$F57,M$3+6&gt;=$E57),"■","")</x:f>
      </x:c>
      <x:c r="N57" s="36" t="str">
        <x:f>IF(AND(N$3&lt;=$F57,N$3+6&gt;=$E57),"■","")</x:f>
      </x:c>
      <x:c r="O57" s="36" t="str">
        <x:f>IF(AND(O$3&lt;=$F57,O$3+6&gt;=$E57),"■","")</x:f>
      </x:c>
      <x:c r="P57" s="36" t="str">
        <x:f>IF(AND(P$3&lt;=$F57,P$3+6&gt;=$E57),"■","")</x:f>
      </x:c>
      <x:c r="Q57" s="36" t="str">
        <x:f>IF(AND(Q$3&lt;=$F57,Q$3+6&gt;=$E57),"■","")</x:f>
      </x:c>
      <x:c r="R57" s="36" t="str">
        <x:f>IF(AND(R$3&lt;=$F57,R$3+6&gt;=$E57),"■","")</x:f>
      </x:c>
      <x:c r="S57" s="36" t="str">
        <x:f>IF(AND(S$3&lt;=$F57,S$3+6&gt;=$E57),"■","")</x:f>
      </x:c>
      <x:c r="T57" s="36" t="str">
        <x:f>IF(AND(T$3&lt;=$F57,T$3+6&gt;=$E57),"■","")</x:f>
      </x:c>
      <x:c r="U57" s="36" t="str">
        <x:f>IF(AND(U$3&lt;=$F57,U$3+6&gt;=$E57),"■","")</x:f>
      </x:c>
      <x:c r="V57" s="36" t="str">
        <x:f>IF(AND(V$3&lt;=$F57,V$3+6&gt;=$E57),"■","")</x:f>
      </x:c>
      <x:c r="W57" s="36" t="str">
        <x:f>IF(AND(W$3&lt;=$F57,W$3+6&gt;=$E57),"■","")</x:f>
      </x:c>
      <x:c r="X57" s="36" t="str">
        <x:f>IF(AND(X$3&lt;=$F57,X$3+6&gt;=$E57),"■","")</x:f>
      </x:c>
      <x:c r="Y57" s="36" t="str">
        <x:f>IF(AND(Y$3&lt;=$F57,Y$3+6&gt;=$E57),"■","")</x:f>
      </x:c>
      <x:c r="Z57" s="36" t="str">
        <x:f>IF(AND(Z$3&lt;=$F57,Z$3+6&gt;=$E57),"■","")</x:f>
      </x:c>
      <x:c r="AA57" s="36" t="str">
        <x:f>IF(AND(AA$3&lt;=$F57,AA$3+6&gt;=$E57),"■","")</x:f>
      </x:c>
      <x:c r="AB57" s="36" t="str">
        <x:f>IF(AND(AB$3&lt;=$F57,AB$3+6&gt;=$E57),"■","")</x:f>
      </x:c>
      <x:c r="AC57" s="36" t="str">
        <x:f>IF(AND(AC$3&lt;=$F57,AC$3+6&gt;=$E57),"■","")</x:f>
      </x:c>
      <x:c r="AD57" s="36" t="str">
        <x:f>IF(AND(AD$3&lt;=$F57,AD$3+6&gt;=$E57),"■","")</x:f>
      </x:c>
      <x:c r="AE57" s="36" t="str">
        <x:f>IF(AND(AE$3&lt;=$F57,AE$3+6&gt;=$E57),"■","")</x:f>
      </x:c>
      <x:c r="AF57" s="36" t="str">
        <x:f>IF(AND(AF$3&lt;=$F57,AF$3+6&gt;=$E57),"■","")</x:f>
      </x:c>
      <x:c r="AG57" s="36" t="str">
        <x:f>IF(AND(AG$3&lt;=$F57,AG$3+6&gt;=$E57),"■","")</x:f>
      </x:c>
      <x:c r="AH57" s="36" t="str">
        <x:f>IF(AND(AH$3&lt;=$F57,AH$3+6&gt;=$E57),"■","")</x:f>
      </x:c>
      <x:c r="AI57" s="36" t="str">
        <x:f>IF(AND(AI$3&lt;=$F57,AI$3+6&gt;=$E57),"■","")</x:f>
      </x:c>
      <x:c r="AJ57" s="36" t="str">
        <x:f>IF(AND(AJ$3&lt;=$F57,AJ$3+6&gt;=$E57),"■","")</x:f>
      </x:c>
      <x:c r="AK57" s="36" t="str">
        <x:f>IF(AND(AK$3&lt;=$F57,AK$3+6&gt;=$E57),"■","")</x:f>
      </x:c>
      <x:c r="AL57" s="36" t="str">
        <x:f>IF(AND(AL$3&lt;=$F57,AL$3+6&gt;=$E57),"■","")</x:f>
      </x:c>
      <x:c r="AM57" s="36" t="str">
        <x:f>IF(AND(AM$3&lt;=$F57,AM$3+6&gt;=$E57),"■","")</x:f>
        <x:v>■</x:v>
      </x:c>
      <x:c r="AN57" s="36" t="str">
        <x:f>IF(AND(AN$3&lt;=$F57,AN$3+6&gt;=$E57),"■","")</x:f>
      </x:c>
      <x:c r="AO57" s="36" t="str">
        <x:f>IF(AND(AO$3&lt;=$F57,AO$3+6&gt;=$E57),"■","")</x:f>
      </x:c>
      <x:c r="AP57" s="36" t="str">
        <x:f>IF(AND(AP$3&lt;=$F57,AP$3+6&gt;=$E57),"■","")</x:f>
      </x:c>
      <x:c r="AQ57" s="36" t="str">
        <x:f>IF(AND(AQ$3&lt;=$F57,AQ$3+6&gt;=$E57),"■","")</x:f>
      </x:c>
      <x:c r="AR57" s="36" t="str">
        <x:f>IF(AND(AR$3&lt;=$F57,AR$3+6&gt;=$E57),"■","")</x:f>
      </x:c>
      <x:c r="AS57" s="36" t="str">
        <x:f>IF(AND(AS$3&lt;=$F57,AS$3+6&gt;=$E57),"■","")</x:f>
      </x:c>
    </x:row>
    <x:row r="58">
      <x:c r="A58" s="27" t="str">
        <x:v>AT-084</x:v>
      </x:c>
      <x:c r="B58" s="27" t="str">
        <x:v>7.2.1</x:v>
      </x:c>
      <x:c r="C58" s="27" t="str">
        <x:v>Production application and integration deployment</x:v>
      </x:c>
      <x:c r="D58" s="27" t="str">
        <x:v>Validation &amp; Deployment Lead</x:v>
      </x:c>
      <x:c r="E58" s="35" t="n">
        <x:v>46255</x:v>
      </x:c>
      <x:c r="F58" s="35" t="n">
        <x:v>46255</x:v>
      </x:c>
      <x:c r="G58" s="36" t="str">
        <x:f>IF(AND(G$3&lt;=$F58,G$3+6&gt;=$E58),"■","")</x:f>
      </x:c>
      <x:c r="H58" s="36" t="str">
        <x:f>IF(AND(H$3&lt;=$F58,H$3+6&gt;=$E58),"■","")</x:f>
      </x:c>
      <x:c r="I58" s="36" t="str">
        <x:f>IF(AND(I$3&lt;=$F58,I$3+6&gt;=$E58),"■","")</x:f>
      </x:c>
      <x:c r="J58" s="36" t="str">
        <x:f>IF(AND(J$3&lt;=$F58,J$3+6&gt;=$E58),"■","")</x:f>
      </x:c>
      <x:c r="K58" s="36" t="str">
        <x:f>IF(AND(K$3&lt;=$F58,K$3+6&gt;=$E58),"■","")</x:f>
      </x:c>
      <x:c r="L58" s="36" t="str">
        <x:f>IF(AND(L$3&lt;=$F58,L$3+6&gt;=$E58),"■","")</x:f>
      </x:c>
      <x:c r="M58" s="36" t="str">
        <x:f>IF(AND(M$3&lt;=$F58,M$3+6&gt;=$E58),"■","")</x:f>
      </x:c>
      <x:c r="N58" s="36" t="str">
        <x:f>IF(AND(N$3&lt;=$F58,N$3+6&gt;=$E58),"■","")</x:f>
      </x:c>
      <x:c r="O58" s="36" t="str">
        <x:f>IF(AND(O$3&lt;=$F58,O$3+6&gt;=$E58),"■","")</x:f>
      </x:c>
      <x:c r="P58" s="36" t="str">
        <x:f>IF(AND(P$3&lt;=$F58,P$3+6&gt;=$E58),"■","")</x:f>
      </x:c>
      <x:c r="Q58" s="36" t="str">
        <x:f>IF(AND(Q$3&lt;=$F58,Q$3+6&gt;=$E58),"■","")</x:f>
      </x:c>
      <x:c r="R58" s="36" t="str">
        <x:f>IF(AND(R$3&lt;=$F58,R$3+6&gt;=$E58),"■","")</x:f>
      </x:c>
      <x:c r="S58" s="36" t="str">
        <x:f>IF(AND(S$3&lt;=$F58,S$3+6&gt;=$E58),"■","")</x:f>
      </x:c>
      <x:c r="T58" s="36" t="str">
        <x:f>IF(AND(T$3&lt;=$F58,T$3+6&gt;=$E58),"■","")</x:f>
      </x:c>
      <x:c r="U58" s="36" t="str">
        <x:f>IF(AND(U$3&lt;=$F58,U$3+6&gt;=$E58),"■","")</x:f>
      </x:c>
      <x:c r="V58" s="36" t="str">
        <x:f>IF(AND(V$3&lt;=$F58,V$3+6&gt;=$E58),"■","")</x:f>
      </x:c>
      <x:c r="W58" s="36" t="str">
        <x:f>IF(AND(W$3&lt;=$F58,W$3+6&gt;=$E58),"■","")</x:f>
      </x:c>
      <x:c r="X58" s="36" t="str">
        <x:f>IF(AND(X$3&lt;=$F58,X$3+6&gt;=$E58),"■","")</x:f>
      </x:c>
      <x:c r="Y58" s="36" t="str">
        <x:f>IF(AND(Y$3&lt;=$F58,Y$3+6&gt;=$E58),"■","")</x:f>
      </x:c>
      <x:c r="Z58" s="36" t="str">
        <x:f>IF(AND(Z$3&lt;=$F58,Z$3+6&gt;=$E58),"■","")</x:f>
      </x:c>
      <x:c r="AA58" s="36" t="str">
        <x:f>IF(AND(AA$3&lt;=$F58,AA$3+6&gt;=$E58),"■","")</x:f>
      </x:c>
      <x:c r="AB58" s="36" t="str">
        <x:f>IF(AND(AB$3&lt;=$F58,AB$3+6&gt;=$E58),"■","")</x:f>
      </x:c>
      <x:c r="AC58" s="36" t="str">
        <x:f>IF(AND(AC$3&lt;=$F58,AC$3+6&gt;=$E58),"■","")</x:f>
      </x:c>
      <x:c r="AD58" s="36" t="str">
        <x:f>IF(AND(AD$3&lt;=$F58,AD$3+6&gt;=$E58),"■","")</x:f>
      </x:c>
      <x:c r="AE58" s="36" t="str">
        <x:f>IF(AND(AE$3&lt;=$F58,AE$3+6&gt;=$E58),"■","")</x:f>
      </x:c>
      <x:c r="AF58" s="36" t="str">
        <x:f>IF(AND(AF$3&lt;=$F58,AF$3+6&gt;=$E58),"■","")</x:f>
      </x:c>
      <x:c r="AG58" s="36" t="str">
        <x:f>IF(AND(AG$3&lt;=$F58,AG$3+6&gt;=$E58),"■","")</x:f>
      </x:c>
      <x:c r="AH58" s="36" t="str">
        <x:f>IF(AND(AH$3&lt;=$F58,AH$3+6&gt;=$E58),"■","")</x:f>
      </x:c>
      <x:c r="AI58" s="36" t="str">
        <x:f>IF(AND(AI$3&lt;=$F58,AI$3+6&gt;=$E58),"■","")</x:f>
      </x:c>
      <x:c r="AJ58" s="36" t="str">
        <x:f>IF(AND(AJ$3&lt;=$F58,AJ$3+6&gt;=$E58),"■","")</x:f>
      </x:c>
      <x:c r="AK58" s="36" t="str">
        <x:f>IF(AND(AK$3&lt;=$F58,AK$3+6&gt;=$E58),"■","")</x:f>
      </x:c>
      <x:c r="AL58" s="36" t="str">
        <x:f>IF(AND(AL$3&lt;=$F58,AL$3+6&gt;=$E58),"■","")</x:f>
      </x:c>
      <x:c r="AM58" s="36" t="str">
        <x:f>IF(AND(AM$3&lt;=$F58,AM$3+6&gt;=$E58),"■","")</x:f>
        <x:v>■</x:v>
      </x:c>
      <x:c r="AN58" s="36" t="str">
        <x:f>IF(AND(AN$3&lt;=$F58,AN$3+6&gt;=$E58),"■","")</x:f>
      </x:c>
      <x:c r="AO58" s="36" t="str">
        <x:f>IF(AND(AO$3&lt;=$F58,AO$3+6&gt;=$E58),"■","")</x:f>
      </x:c>
      <x:c r="AP58" s="36" t="str">
        <x:f>IF(AND(AP$3&lt;=$F58,AP$3+6&gt;=$E58),"■","")</x:f>
      </x:c>
      <x:c r="AQ58" s="36" t="str">
        <x:f>IF(AND(AQ$3&lt;=$F58,AQ$3+6&gt;=$E58),"■","")</x:f>
      </x:c>
      <x:c r="AR58" s="36" t="str">
        <x:f>IF(AND(AR$3&lt;=$F58,AR$3+6&gt;=$E58),"■","")</x:f>
      </x:c>
      <x:c r="AS58" s="36" t="str">
        <x:f>IF(AND(AS$3&lt;=$F58,AS$3+6&gt;=$E58),"■","")</x:f>
      </x:c>
    </x:row>
    <x:row r="59">
      <x:c r="A59" s="27" t="str">
        <x:v>AT-085</x:v>
      </x:c>
      <x:c r="B59" s="27" t="str">
        <x:v>7.2.2</x:v>
      </x:c>
      <x:c r="C59" s="27" t="str">
        <x:v>Production verification</x:v>
      </x:c>
      <x:c r="D59" s="27" t="str">
        <x:v>Validation &amp; Deployment Lead</x:v>
      </x:c>
      <x:c r="E59" s="35" t="n">
        <x:v>46258</x:v>
      </x:c>
      <x:c r="F59" s="35" t="n">
        <x:v>46258</x:v>
      </x:c>
      <x:c r="G59" s="36" t="str">
        <x:f>IF(AND(G$3&lt;=$F59,G$3+6&gt;=$E59),"■","")</x:f>
      </x:c>
      <x:c r="H59" s="36" t="str">
        <x:f>IF(AND(H$3&lt;=$F59,H$3+6&gt;=$E59),"■","")</x:f>
      </x:c>
      <x:c r="I59" s="36" t="str">
        <x:f>IF(AND(I$3&lt;=$F59,I$3+6&gt;=$E59),"■","")</x:f>
      </x:c>
      <x:c r="J59" s="36" t="str">
        <x:f>IF(AND(J$3&lt;=$F59,J$3+6&gt;=$E59),"■","")</x:f>
      </x:c>
      <x:c r="K59" s="36" t="str">
        <x:f>IF(AND(K$3&lt;=$F59,K$3+6&gt;=$E59),"■","")</x:f>
      </x:c>
      <x:c r="L59" s="36" t="str">
        <x:f>IF(AND(L$3&lt;=$F59,L$3+6&gt;=$E59),"■","")</x:f>
      </x:c>
      <x:c r="M59" s="36" t="str">
        <x:f>IF(AND(M$3&lt;=$F59,M$3+6&gt;=$E59),"■","")</x:f>
      </x:c>
      <x:c r="N59" s="36" t="str">
        <x:f>IF(AND(N$3&lt;=$F59,N$3+6&gt;=$E59),"■","")</x:f>
      </x:c>
      <x:c r="O59" s="36" t="str">
        <x:f>IF(AND(O$3&lt;=$F59,O$3+6&gt;=$E59),"■","")</x:f>
      </x:c>
      <x:c r="P59" s="36" t="str">
        <x:f>IF(AND(P$3&lt;=$F59,P$3+6&gt;=$E59),"■","")</x:f>
      </x:c>
      <x:c r="Q59" s="36" t="str">
        <x:f>IF(AND(Q$3&lt;=$F59,Q$3+6&gt;=$E59),"■","")</x:f>
      </x:c>
      <x:c r="R59" s="36" t="str">
        <x:f>IF(AND(R$3&lt;=$F59,R$3+6&gt;=$E59),"■","")</x:f>
      </x:c>
      <x:c r="S59" s="36" t="str">
        <x:f>IF(AND(S$3&lt;=$F59,S$3+6&gt;=$E59),"■","")</x:f>
      </x:c>
      <x:c r="T59" s="36" t="str">
        <x:f>IF(AND(T$3&lt;=$F59,T$3+6&gt;=$E59),"■","")</x:f>
      </x:c>
      <x:c r="U59" s="36" t="str">
        <x:f>IF(AND(U$3&lt;=$F59,U$3+6&gt;=$E59),"■","")</x:f>
      </x:c>
      <x:c r="V59" s="36" t="str">
        <x:f>IF(AND(V$3&lt;=$F59,V$3+6&gt;=$E59),"■","")</x:f>
      </x:c>
      <x:c r="W59" s="36" t="str">
        <x:f>IF(AND(W$3&lt;=$F59,W$3+6&gt;=$E59),"■","")</x:f>
      </x:c>
      <x:c r="X59" s="36" t="str">
        <x:f>IF(AND(X$3&lt;=$F59,X$3+6&gt;=$E59),"■","")</x:f>
      </x:c>
      <x:c r="Y59" s="36" t="str">
        <x:f>IF(AND(Y$3&lt;=$F59,Y$3+6&gt;=$E59),"■","")</x:f>
      </x:c>
      <x:c r="Z59" s="36" t="str">
        <x:f>IF(AND(Z$3&lt;=$F59,Z$3+6&gt;=$E59),"■","")</x:f>
      </x:c>
      <x:c r="AA59" s="36" t="str">
        <x:f>IF(AND(AA$3&lt;=$F59,AA$3+6&gt;=$E59),"■","")</x:f>
      </x:c>
      <x:c r="AB59" s="36" t="str">
        <x:f>IF(AND(AB$3&lt;=$F59,AB$3+6&gt;=$E59),"■","")</x:f>
      </x:c>
      <x:c r="AC59" s="36" t="str">
        <x:f>IF(AND(AC$3&lt;=$F59,AC$3+6&gt;=$E59),"■","")</x:f>
      </x:c>
      <x:c r="AD59" s="36" t="str">
        <x:f>IF(AND(AD$3&lt;=$F59,AD$3+6&gt;=$E59),"■","")</x:f>
      </x:c>
      <x:c r="AE59" s="36" t="str">
        <x:f>IF(AND(AE$3&lt;=$F59,AE$3+6&gt;=$E59),"■","")</x:f>
      </x:c>
      <x:c r="AF59" s="36" t="str">
        <x:f>IF(AND(AF$3&lt;=$F59,AF$3+6&gt;=$E59),"■","")</x:f>
      </x:c>
      <x:c r="AG59" s="36" t="str">
        <x:f>IF(AND(AG$3&lt;=$F59,AG$3+6&gt;=$E59),"■","")</x:f>
      </x:c>
      <x:c r="AH59" s="36" t="str">
        <x:f>IF(AND(AH$3&lt;=$F59,AH$3+6&gt;=$E59),"■","")</x:f>
      </x:c>
      <x:c r="AI59" s="36" t="str">
        <x:f>IF(AND(AI$3&lt;=$F59,AI$3+6&gt;=$E59),"■","")</x:f>
      </x:c>
      <x:c r="AJ59" s="36" t="str">
        <x:f>IF(AND(AJ$3&lt;=$F59,AJ$3+6&gt;=$E59),"■","")</x:f>
      </x:c>
      <x:c r="AK59" s="36" t="str">
        <x:f>IF(AND(AK$3&lt;=$F59,AK$3+6&gt;=$E59),"■","")</x:f>
      </x:c>
      <x:c r="AL59" s="36" t="str">
        <x:f>IF(AND(AL$3&lt;=$F59,AL$3+6&gt;=$E59),"■","")</x:f>
      </x:c>
      <x:c r="AM59" s="36" t="str">
        <x:f>IF(AND(AM$3&lt;=$F59,AM$3+6&gt;=$E59),"■","")</x:f>
      </x:c>
      <x:c r="AN59" s="36" t="str">
        <x:f>IF(AND(AN$3&lt;=$F59,AN$3+6&gt;=$E59),"■","")</x:f>
        <x:v>■</x:v>
      </x:c>
      <x:c r="AO59" s="36" t="str">
        <x:f>IF(AND(AO$3&lt;=$F59,AO$3+6&gt;=$E59),"■","")</x:f>
      </x:c>
      <x:c r="AP59" s="36" t="str">
        <x:f>IF(AND(AP$3&lt;=$F59,AP$3+6&gt;=$E59),"■","")</x:f>
      </x:c>
      <x:c r="AQ59" s="36" t="str">
        <x:f>IF(AND(AQ$3&lt;=$F59,AQ$3+6&gt;=$E59),"■","")</x:f>
      </x:c>
      <x:c r="AR59" s="36" t="str">
        <x:f>IF(AND(AR$3&lt;=$F59,AR$3+6&gt;=$E59),"■","")</x:f>
      </x:c>
      <x:c r="AS59" s="36" t="str">
        <x:f>IF(AND(AS$3&lt;=$F59,AS$3+6&gt;=$E59),"■","")</x:f>
      </x:c>
    </x:row>
    <x:row r="60">
      <x:c r="A60" s="27" t="str">
        <x:v>AT-090</x:v>
      </x:c>
      <x:c r="B60" s="27" t="str">
        <x:v>7.3.1</x:v>
      </x:c>
      <x:c r="C60" s="27" t="str">
        <x:v>Hypercare incident management</x:v>
      </x:c>
      <x:c r="D60" s="27" t="str">
        <x:v>Validation &amp; Deployment Lead</x:v>
      </x:c>
      <x:c r="E60" s="35" t="n">
        <x:v>46258</x:v>
      </x:c>
      <x:c r="F60" s="35" t="n">
        <x:v>46283</x:v>
      </x:c>
      <x:c r="G60" s="36" t="str">
        <x:f>IF(AND(G$3&lt;=$F60,G$3+6&gt;=$E60),"■","")</x:f>
      </x:c>
      <x:c r="H60" s="36" t="str">
        <x:f>IF(AND(H$3&lt;=$F60,H$3+6&gt;=$E60),"■","")</x:f>
      </x:c>
      <x:c r="I60" s="36" t="str">
        <x:f>IF(AND(I$3&lt;=$F60,I$3+6&gt;=$E60),"■","")</x:f>
      </x:c>
      <x:c r="J60" s="36" t="str">
        <x:f>IF(AND(J$3&lt;=$F60,J$3+6&gt;=$E60),"■","")</x:f>
      </x:c>
      <x:c r="K60" s="36" t="str">
        <x:f>IF(AND(K$3&lt;=$F60,K$3+6&gt;=$E60),"■","")</x:f>
      </x:c>
      <x:c r="L60" s="36" t="str">
        <x:f>IF(AND(L$3&lt;=$F60,L$3+6&gt;=$E60),"■","")</x:f>
      </x:c>
      <x:c r="M60" s="36" t="str">
        <x:f>IF(AND(M$3&lt;=$F60,M$3+6&gt;=$E60),"■","")</x:f>
      </x:c>
      <x:c r="N60" s="36" t="str">
        <x:f>IF(AND(N$3&lt;=$F60,N$3+6&gt;=$E60),"■","")</x:f>
      </x:c>
      <x:c r="O60" s="36" t="str">
        <x:f>IF(AND(O$3&lt;=$F60,O$3+6&gt;=$E60),"■","")</x:f>
      </x:c>
      <x:c r="P60" s="36" t="str">
        <x:f>IF(AND(P$3&lt;=$F60,P$3+6&gt;=$E60),"■","")</x:f>
      </x:c>
      <x:c r="Q60" s="36" t="str">
        <x:f>IF(AND(Q$3&lt;=$F60,Q$3+6&gt;=$E60),"■","")</x:f>
      </x:c>
      <x:c r="R60" s="36" t="str">
        <x:f>IF(AND(R$3&lt;=$F60,R$3+6&gt;=$E60),"■","")</x:f>
      </x:c>
      <x:c r="S60" s="36" t="str">
        <x:f>IF(AND(S$3&lt;=$F60,S$3+6&gt;=$E60),"■","")</x:f>
      </x:c>
      <x:c r="T60" s="36" t="str">
        <x:f>IF(AND(T$3&lt;=$F60,T$3+6&gt;=$E60),"■","")</x:f>
      </x:c>
      <x:c r="U60" s="36" t="str">
        <x:f>IF(AND(U$3&lt;=$F60,U$3+6&gt;=$E60),"■","")</x:f>
      </x:c>
      <x:c r="V60" s="36" t="str">
        <x:f>IF(AND(V$3&lt;=$F60,V$3+6&gt;=$E60),"■","")</x:f>
      </x:c>
      <x:c r="W60" s="36" t="str">
        <x:f>IF(AND(W$3&lt;=$F60,W$3+6&gt;=$E60),"■","")</x:f>
      </x:c>
      <x:c r="X60" s="36" t="str">
        <x:f>IF(AND(X$3&lt;=$F60,X$3+6&gt;=$E60),"■","")</x:f>
      </x:c>
      <x:c r="Y60" s="36" t="str">
        <x:f>IF(AND(Y$3&lt;=$F60,Y$3+6&gt;=$E60),"■","")</x:f>
      </x:c>
      <x:c r="Z60" s="36" t="str">
        <x:f>IF(AND(Z$3&lt;=$F60,Z$3+6&gt;=$E60),"■","")</x:f>
      </x:c>
      <x:c r="AA60" s="36" t="str">
        <x:f>IF(AND(AA$3&lt;=$F60,AA$3+6&gt;=$E60),"■","")</x:f>
      </x:c>
      <x:c r="AB60" s="36" t="str">
        <x:f>IF(AND(AB$3&lt;=$F60,AB$3+6&gt;=$E60),"■","")</x:f>
      </x:c>
      <x:c r="AC60" s="36" t="str">
        <x:f>IF(AND(AC$3&lt;=$F60,AC$3+6&gt;=$E60),"■","")</x:f>
      </x:c>
      <x:c r="AD60" s="36" t="str">
        <x:f>IF(AND(AD$3&lt;=$F60,AD$3+6&gt;=$E60),"■","")</x:f>
      </x:c>
      <x:c r="AE60" s="36" t="str">
        <x:f>IF(AND(AE$3&lt;=$F60,AE$3+6&gt;=$E60),"■","")</x:f>
      </x:c>
      <x:c r="AF60" s="36" t="str">
        <x:f>IF(AND(AF$3&lt;=$F60,AF$3+6&gt;=$E60),"■","")</x:f>
      </x:c>
      <x:c r="AG60" s="36" t="str">
        <x:f>IF(AND(AG$3&lt;=$F60,AG$3+6&gt;=$E60),"■","")</x:f>
      </x:c>
      <x:c r="AH60" s="36" t="str">
        <x:f>IF(AND(AH$3&lt;=$F60,AH$3+6&gt;=$E60),"■","")</x:f>
      </x:c>
      <x:c r="AI60" s="36" t="str">
        <x:f>IF(AND(AI$3&lt;=$F60,AI$3+6&gt;=$E60),"■","")</x:f>
      </x:c>
      <x:c r="AJ60" s="36" t="str">
        <x:f>IF(AND(AJ$3&lt;=$F60,AJ$3+6&gt;=$E60),"■","")</x:f>
      </x:c>
      <x:c r="AK60" s="36" t="str">
        <x:f>IF(AND(AK$3&lt;=$F60,AK$3+6&gt;=$E60),"■","")</x:f>
      </x:c>
      <x:c r="AL60" s="36" t="str">
        <x:f>IF(AND(AL$3&lt;=$F60,AL$3+6&gt;=$E60),"■","")</x:f>
      </x:c>
      <x:c r="AM60" s="36" t="str">
        <x:f>IF(AND(AM$3&lt;=$F60,AM$3+6&gt;=$E60),"■","")</x:f>
      </x:c>
      <x:c r="AN60" s="36" t="str">
        <x:f>IF(AND(AN$3&lt;=$F60,AN$3+6&gt;=$E60),"■","")</x:f>
        <x:v>■</x:v>
      </x:c>
      <x:c r="AO60" s="36" t="str">
        <x:f>IF(AND(AO$3&lt;=$F60,AO$3+6&gt;=$E60),"■","")</x:f>
        <x:v>■</x:v>
      </x:c>
      <x:c r="AP60" s="36" t="str">
        <x:f>IF(AND(AP$3&lt;=$F60,AP$3+6&gt;=$E60),"■","")</x:f>
        <x:v>■</x:v>
      </x:c>
      <x:c r="AQ60" s="36" t="str">
        <x:f>IF(AND(AQ$3&lt;=$F60,AQ$3+6&gt;=$E60),"■","")</x:f>
        <x:v>■</x:v>
      </x:c>
      <x:c r="AR60" s="36" t="str">
        <x:f>IF(AND(AR$3&lt;=$F60,AR$3+6&gt;=$E60),"■","")</x:f>
      </x:c>
      <x:c r="AS60" s="36" t="str">
        <x:f>IF(AND(AS$3&lt;=$F60,AS$3+6&gt;=$E60),"■","")</x:f>
      </x:c>
    </x:row>
    <x:row r="61">
      <x:c r="A61" s="27" t="str">
        <x:v>AT-091</x:v>
      </x:c>
      <x:c r="B61" s="27" t="str">
        <x:v>7.3.2</x:v>
      </x:c>
      <x:c r="C61" s="27" t="str">
        <x:v>Hypercare exit assessment</x:v>
      </x:c>
      <x:c r="D61" s="27" t="str">
        <x:v>Validation &amp; Deployment Lead</x:v>
      </x:c>
      <x:c r="E61" s="35" t="n">
        <x:v>46282</x:v>
      </x:c>
      <x:c r="F61" s="35" t="n">
        <x:v>46283</x:v>
      </x:c>
      <x:c r="G61" s="36" t="str">
        <x:f>IF(AND(G$3&lt;=$F61,G$3+6&gt;=$E61),"■","")</x:f>
      </x:c>
      <x:c r="H61" s="36" t="str">
        <x:f>IF(AND(H$3&lt;=$F61,H$3+6&gt;=$E61),"■","")</x:f>
      </x:c>
      <x:c r="I61" s="36" t="str">
        <x:f>IF(AND(I$3&lt;=$F61,I$3+6&gt;=$E61),"■","")</x:f>
      </x:c>
      <x:c r="J61" s="36" t="str">
        <x:f>IF(AND(J$3&lt;=$F61,J$3+6&gt;=$E61),"■","")</x:f>
      </x:c>
      <x:c r="K61" s="36" t="str">
        <x:f>IF(AND(K$3&lt;=$F61,K$3+6&gt;=$E61),"■","")</x:f>
      </x:c>
      <x:c r="L61" s="36" t="str">
        <x:f>IF(AND(L$3&lt;=$F61,L$3+6&gt;=$E61),"■","")</x:f>
      </x:c>
      <x:c r="M61" s="36" t="str">
        <x:f>IF(AND(M$3&lt;=$F61,M$3+6&gt;=$E61),"■","")</x:f>
      </x:c>
      <x:c r="N61" s="36" t="str">
        <x:f>IF(AND(N$3&lt;=$F61,N$3+6&gt;=$E61),"■","")</x:f>
      </x:c>
      <x:c r="O61" s="36" t="str">
        <x:f>IF(AND(O$3&lt;=$F61,O$3+6&gt;=$E61),"■","")</x:f>
      </x:c>
      <x:c r="P61" s="36" t="str">
        <x:f>IF(AND(P$3&lt;=$F61,P$3+6&gt;=$E61),"■","")</x:f>
      </x:c>
      <x:c r="Q61" s="36" t="str">
        <x:f>IF(AND(Q$3&lt;=$F61,Q$3+6&gt;=$E61),"■","")</x:f>
      </x:c>
      <x:c r="R61" s="36" t="str">
        <x:f>IF(AND(R$3&lt;=$F61,R$3+6&gt;=$E61),"■","")</x:f>
      </x:c>
      <x:c r="S61" s="36" t="str">
        <x:f>IF(AND(S$3&lt;=$F61,S$3+6&gt;=$E61),"■","")</x:f>
      </x:c>
      <x:c r="T61" s="36" t="str">
        <x:f>IF(AND(T$3&lt;=$F61,T$3+6&gt;=$E61),"■","")</x:f>
      </x:c>
      <x:c r="U61" s="36" t="str">
        <x:f>IF(AND(U$3&lt;=$F61,U$3+6&gt;=$E61),"■","")</x:f>
      </x:c>
      <x:c r="V61" s="36" t="str">
        <x:f>IF(AND(V$3&lt;=$F61,V$3+6&gt;=$E61),"■","")</x:f>
      </x:c>
      <x:c r="W61" s="36" t="str">
        <x:f>IF(AND(W$3&lt;=$F61,W$3+6&gt;=$E61),"■","")</x:f>
      </x:c>
      <x:c r="X61" s="36" t="str">
        <x:f>IF(AND(X$3&lt;=$F61,X$3+6&gt;=$E61),"■","")</x:f>
      </x:c>
      <x:c r="Y61" s="36" t="str">
        <x:f>IF(AND(Y$3&lt;=$F61,Y$3+6&gt;=$E61),"■","")</x:f>
      </x:c>
      <x:c r="Z61" s="36" t="str">
        <x:f>IF(AND(Z$3&lt;=$F61,Z$3+6&gt;=$E61),"■","")</x:f>
      </x:c>
      <x:c r="AA61" s="36" t="str">
        <x:f>IF(AND(AA$3&lt;=$F61,AA$3+6&gt;=$E61),"■","")</x:f>
      </x:c>
      <x:c r="AB61" s="36" t="str">
        <x:f>IF(AND(AB$3&lt;=$F61,AB$3+6&gt;=$E61),"■","")</x:f>
      </x:c>
      <x:c r="AC61" s="36" t="str">
        <x:f>IF(AND(AC$3&lt;=$F61,AC$3+6&gt;=$E61),"■","")</x:f>
      </x:c>
      <x:c r="AD61" s="36" t="str">
        <x:f>IF(AND(AD$3&lt;=$F61,AD$3+6&gt;=$E61),"■","")</x:f>
      </x:c>
      <x:c r="AE61" s="36" t="str">
        <x:f>IF(AND(AE$3&lt;=$F61,AE$3+6&gt;=$E61),"■","")</x:f>
      </x:c>
      <x:c r="AF61" s="36" t="str">
        <x:f>IF(AND(AF$3&lt;=$F61,AF$3+6&gt;=$E61),"■","")</x:f>
      </x:c>
      <x:c r="AG61" s="36" t="str">
        <x:f>IF(AND(AG$3&lt;=$F61,AG$3+6&gt;=$E61),"■","")</x:f>
      </x:c>
      <x:c r="AH61" s="36" t="str">
        <x:f>IF(AND(AH$3&lt;=$F61,AH$3+6&gt;=$E61),"■","")</x:f>
      </x:c>
      <x:c r="AI61" s="36" t="str">
        <x:f>IF(AND(AI$3&lt;=$F61,AI$3+6&gt;=$E61),"■","")</x:f>
      </x:c>
      <x:c r="AJ61" s="36" t="str">
        <x:f>IF(AND(AJ$3&lt;=$F61,AJ$3+6&gt;=$E61),"■","")</x:f>
      </x:c>
      <x:c r="AK61" s="36" t="str">
        <x:f>IF(AND(AK$3&lt;=$F61,AK$3+6&gt;=$E61),"■","")</x:f>
      </x:c>
      <x:c r="AL61" s="36" t="str">
        <x:f>IF(AND(AL$3&lt;=$F61,AL$3+6&gt;=$E61),"■","")</x:f>
      </x:c>
      <x:c r="AM61" s="36" t="str">
        <x:f>IF(AND(AM$3&lt;=$F61,AM$3+6&gt;=$E61),"■","")</x:f>
      </x:c>
      <x:c r="AN61" s="36" t="str">
        <x:f>IF(AND(AN$3&lt;=$F61,AN$3+6&gt;=$E61),"■","")</x:f>
      </x:c>
      <x:c r="AO61" s="36" t="str">
        <x:f>IF(AND(AO$3&lt;=$F61,AO$3+6&gt;=$E61),"■","")</x:f>
      </x:c>
      <x:c r="AP61" s="36" t="str">
        <x:f>IF(AND(AP$3&lt;=$F61,AP$3+6&gt;=$E61),"■","")</x:f>
      </x:c>
      <x:c r="AQ61" s="36" t="str">
        <x:f>IF(AND(AQ$3&lt;=$F61,AQ$3+6&gt;=$E61),"■","")</x:f>
        <x:v>■</x:v>
      </x:c>
      <x:c r="AR61" s="36" t="str">
        <x:f>IF(AND(AR$3&lt;=$F61,AR$3+6&gt;=$E61),"■","")</x:f>
      </x:c>
      <x:c r="AS61" s="36" t="str">
        <x:f>IF(AND(AS$3&lt;=$F61,AS$3+6&gt;=$E61),"■","")</x:f>
      </x:c>
    </x:row>
    <x:row r="62">
      <x:c r="A62" s="27" t="str">
        <x:v>AT-092</x:v>
      </x:c>
      <x:c r="B62" s="27" t="str">
        <x:v>7.3.3</x:v>
      </x:c>
      <x:c r="C62" s="27" t="str">
        <x:v>Operational handover</x:v>
      </x:c>
      <x:c r="D62" s="27" t="str">
        <x:v>Operations Lead</x:v>
      </x:c>
      <x:c r="E62" s="35" t="n">
        <x:v>46283</x:v>
      </x:c>
      <x:c r="F62" s="35" t="n">
        <x:v>46283</x:v>
      </x:c>
      <x:c r="G62" s="36" t="str">
        <x:f>IF(AND(G$3&lt;=$F62,G$3+6&gt;=$E62),"■","")</x:f>
      </x:c>
      <x:c r="H62" s="36" t="str">
        <x:f>IF(AND(H$3&lt;=$F62,H$3+6&gt;=$E62),"■","")</x:f>
      </x:c>
      <x:c r="I62" s="36" t="str">
        <x:f>IF(AND(I$3&lt;=$F62,I$3+6&gt;=$E62),"■","")</x:f>
      </x:c>
      <x:c r="J62" s="36" t="str">
        <x:f>IF(AND(J$3&lt;=$F62,J$3+6&gt;=$E62),"■","")</x:f>
      </x:c>
      <x:c r="K62" s="36" t="str">
        <x:f>IF(AND(K$3&lt;=$F62,K$3+6&gt;=$E62),"■","")</x:f>
      </x:c>
      <x:c r="L62" s="36" t="str">
        <x:f>IF(AND(L$3&lt;=$F62,L$3+6&gt;=$E62),"■","")</x:f>
      </x:c>
      <x:c r="M62" s="36" t="str">
        <x:f>IF(AND(M$3&lt;=$F62,M$3+6&gt;=$E62),"■","")</x:f>
      </x:c>
      <x:c r="N62" s="36" t="str">
        <x:f>IF(AND(N$3&lt;=$F62,N$3+6&gt;=$E62),"■","")</x:f>
      </x:c>
      <x:c r="O62" s="36" t="str">
        <x:f>IF(AND(O$3&lt;=$F62,O$3+6&gt;=$E62),"■","")</x:f>
      </x:c>
      <x:c r="P62" s="36" t="str">
        <x:f>IF(AND(P$3&lt;=$F62,P$3+6&gt;=$E62),"■","")</x:f>
      </x:c>
      <x:c r="Q62" s="36" t="str">
        <x:f>IF(AND(Q$3&lt;=$F62,Q$3+6&gt;=$E62),"■","")</x:f>
      </x:c>
      <x:c r="R62" s="36" t="str">
        <x:f>IF(AND(R$3&lt;=$F62,R$3+6&gt;=$E62),"■","")</x:f>
      </x:c>
      <x:c r="S62" s="36" t="str">
        <x:f>IF(AND(S$3&lt;=$F62,S$3+6&gt;=$E62),"■","")</x:f>
      </x:c>
      <x:c r="T62" s="36" t="str">
        <x:f>IF(AND(T$3&lt;=$F62,T$3+6&gt;=$E62),"■","")</x:f>
      </x:c>
      <x:c r="U62" s="36" t="str">
        <x:f>IF(AND(U$3&lt;=$F62,U$3+6&gt;=$E62),"■","")</x:f>
      </x:c>
      <x:c r="V62" s="36" t="str">
        <x:f>IF(AND(V$3&lt;=$F62,V$3+6&gt;=$E62),"■","")</x:f>
      </x:c>
      <x:c r="W62" s="36" t="str">
        <x:f>IF(AND(W$3&lt;=$F62,W$3+6&gt;=$E62),"■","")</x:f>
      </x:c>
      <x:c r="X62" s="36" t="str">
        <x:f>IF(AND(X$3&lt;=$F62,X$3+6&gt;=$E62),"■","")</x:f>
      </x:c>
      <x:c r="Y62" s="36" t="str">
        <x:f>IF(AND(Y$3&lt;=$F62,Y$3+6&gt;=$E62),"■","")</x:f>
      </x:c>
      <x:c r="Z62" s="36" t="str">
        <x:f>IF(AND(Z$3&lt;=$F62,Z$3+6&gt;=$E62),"■","")</x:f>
      </x:c>
      <x:c r="AA62" s="36" t="str">
        <x:f>IF(AND(AA$3&lt;=$F62,AA$3+6&gt;=$E62),"■","")</x:f>
      </x:c>
      <x:c r="AB62" s="36" t="str">
        <x:f>IF(AND(AB$3&lt;=$F62,AB$3+6&gt;=$E62),"■","")</x:f>
      </x:c>
      <x:c r="AC62" s="36" t="str">
        <x:f>IF(AND(AC$3&lt;=$F62,AC$3+6&gt;=$E62),"■","")</x:f>
      </x:c>
      <x:c r="AD62" s="36" t="str">
        <x:f>IF(AND(AD$3&lt;=$F62,AD$3+6&gt;=$E62),"■","")</x:f>
      </x:c>
      <x:c r="AE62" s="36" t="str">
        <x:f>IF(AND(AE$3&lt;=$F62,AE$3+6&gt;=$E62),"■","")</x:f>
      </x:c>
      <x:c r="AF62" s="36" t="str">
        <x:f>IF(AND(AF$3&lt;=$F62,AF$3+6&gt;=$E62),"■","")</x:f>
      </x:c>
      <x:c r="AG62" s="36" t="str">
        <x:f>IF(AND(AG$3&lt;=$F62,AG$3+6&gt;=$E62),"■","")</x:f>
      </x:c>
      <x:c r="AH62" s="36" t="str">
        <x:f>IF(AND(AH$3&lt;=$F62,AH$3+6&gt;=$E62),"■","")</x:f>
      </x:c>
      <x:c r="AI62" s="36" t="str">
        <x:f>IF(AND(AI$3&lt;=$F62,AI$3+6&gt;=$E62),"■","")</x:f>
      </x:c>
      <x:c r="AJ62" s="36" t="str">
        <x:f>IF(AND(AJ$3&lt;=$F62,AJ$3+6&gt;=$E62),"■","")</x:f>
      </x:c>
      <x:c r="AK62" s="36" t="str">
        <x:f>IF(AND(AK$3&lt;=$F62,AK$3+6&gt;=$E62),"■","")</x:f>
      </x:c>
      <x:c r="AL62" s="36" t="str">
        <x:f>IF(AND(AL$3&lt;=$F62,AL$3+6&gt;=$E62),"■","")</x:f>
      </x:c>
      <x:c r="AM62" s="36" t="str">
        <x:f>IF(AND(AM$3&lt;=$F62,AM$3+6&gt;=$E62),"■","")</x:f>
      </x:c>
      <x:c r="AN62" s="36" t="str">
        <x:f>IF(AND(AN$3&lt;=$F62,AN$3+6&gt;=$E62),"■","")</x:f>
      </x:c>
      <x:c r="AO62" s="36" t="str">
        <x:f>IF(AND(AO$3&lt;=$F62,AO$3+6&gt;=$E62),"■","")</x:f>
      </x:c>
      <x:c r="AP62" s="36" t="str">
        <x:f>IF(AND(AP$3&lt;=$F62,AP$3+6&gt;=$E62),"■","")</x:f>
      </x:c>
      <x:c r="AQ62" s="36" t="str">
        <x:f>IF(AND(AQ$3&lt;=$F62,AQ$3+6&gt;=$E62),"■","")</x:f>
        <x:v>■</x:v>
      </x:c>
      <x:c r="AR62" s="36" t="str">
        <x:f>IF(AND(AR$3&lt;=$F62,AR$3+6&gt;=$E62),"■","")</x:f>
      </x:c>
      <x:c r="AS62" s="36" t="str">
        <x:f>IF(AND(AS$3&lt;=$F62,AS$3+6&gt;=$E62),"■","")</x:f>
      </x:c>
    </x:row>
    <x:row r="63">
      <x:c r="A63" s="27" t="str">
        <x:v>AT-100</x:v>
      </x:c>
      <x:c r="B63" s="27" t="str">
        <x:v>8.1.1</x:v>
      </x:c>
      <x:c r="C63" s="27" t="str">
        <x:v>Confirm final deliverable acceptance</x:v>
      </x:c>
      <x:c r="D63" s="27" t="str">
        <x:v>Project Manager</x:v>
      </x:c>
      <x:c r="E63" s="35" t="n">
        <x:v>46286</x:v>
      </x:c>
      <x:c r="F63" s="35" t="n">
        <x:v>46288</x:v>
      </x:c>
      <x:c r="G63" s="36" t="str">
        <x:f>IF(AND(G$3&lt;=$F63,G$3+6&gt;=$E63),"■","")</x:f>
      </x:c>
      <x:c r="H63" s="36" t="str">
        <x:f>IF(AND(H$3&lt;=$F63,H$3+6&gt;=$E63),"■","")</x:f>
      </x:c>
      <x:c r="I63" s="36" t="str">
        <x:f>IF(AND(I$3&lt;=$F63,I$3+6&gt;=$E63),"■","")</x:f>
      </x:c>
      <x:c r="J63" s="36" t="str">
        <x:f>IF(AND(J$3&lt;=$F63,J$3+6&gt;=$E63),"■","")</x:f>
      </x:c>
      <x:c r="K63" s="36" t="str">
        <x:f>IF(AND(K$3&lt;=$F63,K$3+6&gt;=$E63),"■","")</x:f>
      </x:c>
      <x:c r="L63" s="36" t="str">
        <x:f>IF(AND(L$3&lt;=$F63,L$3+6&gt;=$E63),"■","")</x:f>
      </x:c>
      <x:c r="M63" s="36" t="str">
        <x:f>IF(AND(M$3&lt;=$F63,M$3+6&gt;=$E63),"■","")</x:f>
      </x:c>
      <x:c r="N63" s="36" t="str">
        <x:f>IF(AND(N$3&lt;=$F63,N$3+6&gt;=$E63),"■","")</x:f>
      </x:c>
      <x:c r="O63" s="36" t="str">
        <x:f>IF(AND(O$3&lt;=$F63,O$3+6&gt;=$E63),"■","")</x:f>
      </x:c>
      <x:c r="P63" s="36" t="str">
        <x:f>IF(AND(P$3&lt;=$F63,P$3+6&gt;=$E63),"■","")</x:f>
      </x:c>
      <x:c r="Q63" s="36" t="str">
        <x:f>IF(AND(Q$3&lt;=$F63,Q$3+6&gt;=$E63),"■","")</x:f>
      </x:c>
      <x:c r="R63" s="36" t="str">
        <x:f>IF(AND(R$3&lt;=$F63,R$3+6&gt;=$E63),"■","")</x:f>
      </x:c>
      <x:c r="S63" s="36" t="str">
        <x:f>IF(AND(S$3&lt;=$F63,S$3+6&gt;=$E63),"■","")</x:f>
      </x:c>
      <x:c r="T63" s="36" t="str">
        <x:f>IF(AND(T$3&lt;=$F63,T$3+6&gt;=$E63),"■","")</x:f>
      </x:c>
      <x:c r="U63" s="36" t="str">
        <x:f>IF(AND(U$3&lt;=$F63,U$3+6&gt;=$E63),"■","")</x:f>
      </x:c>
      <x:c r="V63" s="36" t="str">
        <x:f>IF(AND(V$3&lt;=$F63,V$3+6&gt;=$E63),"■","")</x:f>
      </x:c>
      <x:c r="W63" s="36" t="str">
        <x:f>IF(AND(W$3&lt;=$F63,W$3+6&gt;=$E63),"■","")</x:f>
      </x:c>
      <x:c r="X63" s="36" t="str">
        <x:f>IF(AND(X$3&lt;=$F63,X$3+6&gt;=$E63),"■","")</x:f>
      </x:c>
      <x:c r="Y63" s="36" t="str">
        <x:f>IF(AND(Y$3&lt;=$F63,Y$3+6&gt;=$E63),"■","")</x:f>
      </x:c>
      <x:c r="Z63" s="36" t="str">
        <x:f>IF(AND(Z$3&lt;=$F63,Z$3+6&gt;=$E63),"■","")</x:f>
      </x:c>
      <x:c r="AA63" s="36" t="str">
        <x:f>IF(AND(AA$3&lt;=$F63,AA$3+6&gt;=$E63),"■","")</x:f>
      </x:c>
      <x:c r="AB63" s="36" t="str">
        <x:f>IF(AND(AB$3&lt;=$F63,AB$3+6&gt;=$E63),"■","")</x:f>
      </x:c>
      <x:c r="AC63" s="36" t="str">
        <x:f>IF(AND(AC$3&lt;=$F63,AC$3+6&gt;=$E63),"■","")</x:f>
      </x:c>
      <x:c r="AD63" s="36" t="str">
        <x:f>IF(AND(AD$3&lt;=$F63,AD$3+6&gt;=$E63),"■","")</x:f>
      </x:c>
      <x:c r="AE63" s="36" t="str">
        <x:f>IF(AND(AE$3&lt;=$F63,AE$3+6&gt;=$E63),"■","")</x:f>
      </x:c>
      <x:c r="AF63" s="36" t="str">
        <x:f>IF(AND(AF$3&lt;=$F63,AF$3+6&gt;=$E63),"■","")</x:f>
      </x:c>
      <x:c r="AG63" s="36" t="str">
        <x:f>IF(AND(AG$3&lt;=$F63,AG$3+6&gt;=$E63),"■","")</x:f>
      </x:c>
      <x:c r="AH63" s="36" t="str">
        <x:f>IF(AND(AH$3&lt;=$F63,AH$3+6&gt;=$E63),"■","")</x:f>
      </x:c>
      <x:c r="AI63" s="36" t="str">
        <x:f>IF(AND(AI$3&lt;=$F63,AI$3+6&gt;=$E63),"■","")</x:f>
      </x:c>
      <x:c r="AJ63" s="36" t="str">
        <x:f>IF(AND(AJ$3&lt;=$F63,AJ$3+6&gt;=$E63),"■","")</x:f>
      </x:c>
      <x:c r="AK63" s="36" t="str">
        <x:f>IF(AND(AK$3&lt;=$F63,AK$3+6&gt;=$E63),"■","")</x:f>
      </x:c>
      <x:c r="AL63" s="36" t="str">
        <x:f>IF(AND(AL$3&lt;=$F63,AL$3+6&gt;=$E63),"■","")</x:f>
      </x:c>
      <x:c r="AM63" s="36" t="str">
        <x:f>IF(AND(AM$3&lt;=$F63,AM$3+6&gt;=$E63),"■","")</x:f>
      </x:c>
      <x:c r="AN63" s="36" t="str">
        <x:f>IF(AND(AN$3&lt;=$F63,AN$3+6&gt;=$E63),"■","")</x:f>
      </x:c>
      <x:c r="AO63" s="36" t="str">
        <x:f>IF(AND(AO$3&lt;=$F63,AO$3+6&gt;=$E63),"■","")</x:f>
      </x:c>
      <x:c r="AP63" s="36" t="str">
        <x:f>IF(AND(AP$3&lt;=$F63,AP$3+6&gt;=$E63),"■","")</x:f>
      </x:c>
      <x:c r="AQ63" s="36" t="str">
        <x:f>IF(AND(AQ$3&lt;=$F63,AQ$3+6&gt;=$E63),"■","")</x:f>
      </x:c>
      <x:c r="AR63" s="36" t="str">
        <x:f>IF(AND(AR$3&lt;=$F63,AR$3+6&gt;=$E63),"■","")</x:f>
        <x:v>■</x:v>
      </x:c>
      <x:c r="AS63" s="36" t="str">
        <x:f>IF(AND(AS$3&lt;=$F63,AS$3+6&gt;=$E63),"■","")</x:f>
      </x:c>
    </x:row>
    <x:row r="64">
      <x:c r="A64" s="27" t="str">
        <x:v>AT-101</x:v>
      </x:c>
      <x:c r="B64" s="27" t="str">
        <x:v>8.1.2</x:v>
      </x:c>
      <x:c r="C64" s="27" t="str">
        <x:v>Financial and procurement closeout</x:v>
      </x:c>
      <x:c r="D64" s="27" t="str">
        <x:v>Project Manager</x:v>
      </x:c>
      <x:c r="E64" s="35" t="n">
        <x:v>46286</x:v>
      </x:c>
      <x:c r="F64" s="35" t="n">
        <x:v>46290</x:v>
      </x:c>
      <x:c r="G64" s="36" t="str">
        <x:f>IF(AND(G$3&lt;=$F64,G$3+6&gt;=$E64),"■","")</x:f>
      </x:c>
      <x:c r="H64" s="36" t="str">
        <x:f>IF(AND(H$3&lt;=$F64,H$3+6&gt;=$E64),"■","")</x:f>
      </x:c>
      <x:c r="I64" s="36" t="str">
        <x:f>IF(AND(I$3&lt;=$F64,I$3+6&gt;=$E64),"■","")</x:f>
      </x:c>
      <x:c r="J64" s="36" t="str">
        <x:f>IF(AND(J$3&lt;=$F64,J$3+6&gt;=$E64),"■","")</x:f>
      </x:c>
      <x:c r="K64" s="36" t="str">
        <x:f>IF(AND(K$3&lt;=$F64,K$3+6&gt;=$E64),"■","")</x:f>
      </x:c>
      <x:c r="L64" s="36" t="str">
        <x:f>IF(AND(L$3&lt;=$F64,L$3+6&gt;=$E64),"■","")</x:f>
      </x:c>
      <x:c r="M64" s="36" t="str">
        <x:f>IF(AND(M$3&lt;=$F64,M$3+6&gt;=$E64),"■","")</x:f>
      </x:c>
      <x:c r="N64" s="36" t="str">
        <x:f>IF(AND(N$3&lt;=$F64,N$3+6&gt;=$E64),"■","")</x:f>
      </x:c>
      <x:c r="O64" s="36" t="str">
        <x:f>IF(AND(O$3&lt;=$F64,O$3+6&gt;=$E64),"■","")</x:f>
      </x:c>
      <x:c r="P64" s="36" t="str">
        <x:f>IF(AND(P$3&lt;=$F64,P$3+6&gt;=$E64),"■","")</x:f>
      </x:c>
      <x:c r="Q64" s="36" t="str">
        <x:f>IF(AND(Q$3&lt;=$F64,Q$3+6&gt;=$E64),"■","")</x:f>
      </x:c>
      <x:c r="R64" s="36" t="str">
        <x:f>IF(AND(R$3&lt;=$F64,R$3+6&gt;=$E64),"■","")</x:f>
      </x:c>
      <x:c r="S64" s="36" t="str">
        <x:f>IF(AND(S$3&lt;=$F64,S$3+6&gt;=$E64),"■","")</x:f>
      </x:c>
      <x:c r="T64" s="36" t="str">
        <x:f>IF(AND(T$3&lt;=$F64,T$3+6&gt;=$E64),"■","")</x:f>
      </x:c>
      <x:c r="U64" s="36" t="str">
        <x:f>IF(AND(U$3&lt;=$F64,U$3+6&gt;=$E64),"■","")</x:f>
      </x:c>
      <x:c r="V64" s="36" t="str">
        <x:f>IF(AND(V$3&lt;=$F64,V$3+6&gt;=$E64),"■","")</x:f>
      </x:c>
      <x:c r="W64" s="36" t="str">
        <x:f>IF(AND(W$3&lt;=$F64,W$3+6&gt;=$E64),"■","")</x:f>
      </x:c>
      <x:c r="X64" s="36" t="str">
        <x:f>IF(AND(X$3&lt;=$F64,X$3+6&gt;=$E64),"■","")</x:f>
      </x:c>
      <x:c r="Y64" s="36" t="str">
        <x:f>IF(AND(Y$3&lt;=$F64,Y$3+6&gt;=$E64),"■","")</x:f>
      </x:c>
      <x:c r="Z64" s="36" t="str">
        <x:f>IF(AND(Z$3&lt;=$F64,Z$3+6&gt;=$E64),"■","")</x:f>
      </x:c>
      <x:c r="AA64" s="36" t="str">
        <x:f>IF(AND(AA$3&lt;=$F64,AA$3+6&gt;=$E64),"■","")</x:f>
      </x:c>
      <x:c r="AB64" s="36" t="str">
        <x:f>IF(AND(AB$3&lt;=$F64,AB$3+6&gt;=$E64),"■","")</x:f>
      </x:c>
      <x:c r="AC64" s="36" t="str">
        <x:f>IF(AND(AC$3&lt;=$F64,AC$3+6&gt;=$E64),"■","")</x:f>
      </x:c>
      <x:c r="AD64" s="36" t="str">
        <x:f>IF(AND(AD$3&lt;=$F64,AD$3+6&gt;=$E64),"■","")</x:f>
      </x:c>
      <x:c r="AE64" s="36" t="str">
        <x:f>IF(AND(AE$3&lt;=$F64,AE$3+6&gt;=$E64),"■","")</x:f>
      </x:c>
      <x:c r="AF64" s="36" t="str">
        <x:f>IF(AND(AF$3&lt;=$F64,AF$3+6&gt;=$E64),"■","")</x:f>
      </x:c>
      <x:c r="AG64" s="36" t="str">
        <x:f>IF(AND(AG$3&lt;=$F64,AG$3+6&gt;=$E64),"■","")</x:f>
      </x:c>
      <x:c r="AH64" s="36" t="str">
        <x:f>IF(AND(AH$3&lt;=$F64,AH$3+6&gt;=$E64),"■","")</x:f>
      </x:c>
      <x:c r="AI64" s="36" t="str">
        <x:f>IF(AND(AI$3&lt;=$F64,AI$3+6&gt;=$E64),"■","")</x:f>
      </x:c>
      <x:c r="AJ64" s="36" t="str">
        <x:f>IF(AND(AJ$3&lt;=$F64,AJ$3+6&gt;=$E64),"■","")</x:f>
      </x:c>
      <x:c r="AK64" s="36" t="str">
        <x:f>IF(AND(AK$3&lt;=$F64,AK$3+6&gt;=$E64),"■","")</x:f>
      </x:c>
      <x:c r="AL64" s="36" t="str">
        <x:f>IF(AND(AL$3&lt;=$F64,AL$3+6&gt;=$E64),"■","")</x:f>
      </x:c>
      <x:c r="AM64" s="36" t="str">
        <x:f>IF(AND(AM$3&lt;=$F64,AM$3+6&gt;=$E64),"■","")</x:f>
      </x:c>
      <x:c r="AN64" s="36" t="str">
        <x:f>IF(AND(AN$3&lt;=$F64,AN$3+6&gt;=$E64),"■","")</x:f>
      </x:c>
      <x:c r="AO64" s="36" t="str">
        <x:f>IF(AND(AO$3&lt;=$F64,AO$3+6&gt;=$E64),"■","")</x:f>
      </x:c>
      <x:c r="AP64" s="36" t="str">
        <x:f>IF(AND(AP$3&lt;=$F64,AP$3+6&gt;=$E64),"■","")</x:f>
      </x:c>
      <x:c r="AQ64" s="36" t="str">
        <x:f>IF(AND(AQ$3&lt;=$F64,AQ$3+6&gt;=$E64),"■","")</x:f>
      </x:c>
      <x:c r="AR64" s="36" t="str">
        <x:f>IF(AND(AR$3&lt;=$F64,AR$3+6&gt;=$E64),"■","")</x:f>
        <x:v>■</x:v>
      </x:c>
      <x:c r="AS64" s="36" t="str">
        <x:f>IF(AND(AS$3&lt;=$F64,AS$3+6&gt;=$E64),"■","")</x:f>
      </x:c>
    </x:row>
    <x:row r="65">
      <x:c r="A65" s="27" t="str">
        <x:v>AT-102</x:v>
      </x:c>
      <x:c r="B65" s="27" t="str">
        <x:v>8.1.3</x:v>
      </x:c>
      <x:c r="C65" s="27" t="str">
        <x:v>Lessons learned workshop and documentation</x:v>
      </x:c>
      <x:c r="D65" s="27" t="str">
        <x:v>Project Manager</x:v>
      </x:c>
      <x:c r="E65" s="35" t="n">
        <x:v>46286</x:v>
      </x:c>
      <x:c r="F65" s="35" t="n">
        <x:v>46290</x:v>
      </x:c>
      <x:c r="G65" s="36" t="str">
        <x:f>IF(AND(G$3&lt;=$F65,G$3+6&gt;=$E65),"■","")</x:f>
      </x:c>
      <x:c r="H65" s="36" t="str">
        <x:f>IF(AND(H$3&lt;=$F65,H$3+6&gt;=$E65),"■","")</x:f>
      </x:c>
      <x:c r="I65" s="36" t="str">
        <x:f>IF(AND(I$3&lt;=$F65,I$3+6&gt;=$E65),"■","")</x:f>
      </x:c>
      <x:c r="J65" s="36" t="str">
        <x:f>IF(AND(J$3&lt;=$F65,J$3+6&gt;=$E65),"■","")</x:f>
      </x:c>
      <x:c r="K65" s="36" t="str">
        <x:f>IF(AND(K$3&lt;=$F65,K$3+6&gt;=$E65),"■","")</x:f>
      </x:c>
      <x:c r="L65" s="36" t="str">
        <x:f>IF(AND(L$3&lt;=$F65,L$3+6&gt;=$E65),"■","")</x:f>
      </x:c>
      <x:c r="M65" s="36" t="str">
        <x:f>IF(AND(M$3&lt;=$F65,M$3+6&gt;=$E65),"■","")</x:f>
      </x:c>
      <x:c r="N65" s="36" t="str">
        <x:f>IF(AND(N$3&lt;=$F65,N$3+6&gt;=$E65),"■","")</x:f>
      </x:c>
      <x:c r="O65" s="36" t="str">
        <x:f>IF(AND(O$3&lt;=$F65,O$3+6&gt;=$E65),"■","")</x:f>
      </x:c>
      <x:c r="P65" s="36" t="str">
        <x:f>IF(AND(P$3&lt;=$F65,P$3+6&gt;=$E65),"■","")</x:f>
      </x:c>
      <x:c r="Q65" s="36" t="str">
        <x:f>IF(AND(Q$3&lt;=$F65,Q$3+6&gt;=$E65),"■","")</x:f>
      </x:c>
      <x:c r="R65" s="36" t="str">
        <x:f>IF(AND(R$3&lt;=$F65,R$3+6&gt;=$E65),"■","")</x:f>
      </x:c>
      <x:c r="S65" s="36" t="str">
        <x:f>IF(AND(S$3&lt;=$F65,S$3+6&gt;=$E65),"■","")</x:f>
      </x:c>
      <x:c r="T65" s="36" t="str">
        <x:f>IF(AND(T$3&lt;=$F65,T$3+6&gt;=$E65),"■","")</x:f>
      </x:c>
      <x:c r="U65" s="36" t="str">
        <x:f>IF(AND(U$3&lt;=$F65,U$3+6&gt;=$E65),"■","")</x:f>
      </x:c>
      <x:c r="V65" s="36" t="str">
        <x:f>IF(AND(V$3&lt;=$F65,V$3+6&gt;=$E65),"■","")</x:f>
      </x:c>
      <x:c r="W65" s="36" t="str">
        <x:f>IF(AND(W$3&lt;=$F65,W$3+6&gt;=$E65),"■","")</x:f>
      </x:c>
      <x:c r="X65" s="36" t="str">
        <x:f>IF(AND(X$3&lt;=$F65,X$3+6&gt;=$E65),"■","")</x:f>
      </x:c>
      <x:c r="Y65" s="36" t="str">
        <x:f>IF(AND(Y$3&lt;=$F65,Y$3+6&gt;=$E65),"■","")</x:f>
      </x:c>
      <x:c r="Z65" s="36" t="str">
        <x:f>IF(AND(Z$3&lt;=$F65,Z$3+6&gt;=$E65),"■","")</x:f>
      </x:c>
      <x:c r="AA65" s="36" t="str">
        <x:f>IF(AND(AA$3&lt;=$F65,AA$3+6&gt;=$E65),"■","")</x:f>
      </x:c>
      <x:c r="AB65" s="36" t="str">
        <x:f>IF(AND(AB$3&lt;=$F65,AB$3+6&gt;=$E65),"■","")</x:f>
      </x:c>
      <x:c r="AC65" s="36" t="str">
        <x:f>IF(AND(AC$3&lt;=$F65,AC$3+6&gt;=$E65),"■","")</x:f>
      </x:c>
      <x:c r="AD65" s="36" t="str">
        <x:f>IF(AND(AD$3&lt;=$F65,AD$3+6&gt;=$E65),"■","")</x:f>
      </x:c>
      <x:c r="AE65" s="36" t="str">
        <x:f>IF(AND(AE$3&lt;=$F65,AE$3+6&gt;=$E65),"■","")</x:f>
      </x:c>
      <x:c r="AF65" s="36" t="str">
        <x:f>IF(AND(AF$3&lt;=$F65,AF$3+6&gt;=$E65),"■","")</x:f>
      </x:c>
      <x:c r="AG65" s="36" t="str">
        <x:f>IF(AND(AG$3&lt;=$F65,AG$3+6&gt;=$E65),"■","")</x:f>
      </x:c>
      <x:c r="AH65" s="36" t="str">
        <x:f>IF(AND(AH$3&lt;=$F65,AH$3+6&gt;=$E65),"■","")</x:f>
      </x:c>
      <x:c r="AI65" s="36" t="str">
        <x:f>IF(AND(AI$3&lt;=$F65,AI$3+6&gt;=$E65),"■","")</x:f>
      </x:c>
      <x:c r="AJ65" s="36" t="str">
        <x:f>IF(AND(AJ$3&lt;=$F65,AJ$3+6&gt;=$E65),"■","")</x:f>
      </x:c>
      <x:c r="AK65" s="36" t="str">
        <x:f>IF(AND(AK$3&lt;=$F65,AK$3+6&gt;=$E65),"■","")</x:f>
      </x:c>
      <x:c r="AL65" s="36" t="str">
        <x:f>IF(AND(AL$3&lt;=$F65,AL$3+6&gt;=$E65),"■","")</x:f>
      </x:c>
      <x:c r="AM65" s="36" t="str">
        <x:f>IF(AND(AM$3&lt;=$F65,AM$3+6&gt;=$E65),"■","")</x:f>
      </x:c>
      <x:c r="AN65" s="36" t="str">
        <x:f>IF(AND(AN$3&lt;=$F65,AN$3+6&gt;=$E65),"■","")</x:f>
      </x:c>
      <x:c r="AO65" s="36" t="str">
        <x:f>IF(AND(AO$3&lt;=$F65,AO$3+6&gt;=$E65),"■","")</x:f>
      </x:c>
      <x:c r="AP65" s="36" t="str">
        <x:f>IF(AND(AP$3&lt;=$F65,AP$3+6&gt;=$E65),"■","")</x:f>
      </x:c>
      <x:c r="AQ65" s="36" t="str">
        <x:f>IF(AND(AQ$3&lt;=$F65,AQ$3+6&gt;=$E65),"■","")</x:f>
      </x:c>
      <x:c r="AR65" s="36" t="str">
        <x:f>IF(AND(AR$3&lt;=$F65,AR$3+6&gt;=$E65),"■","")</x:f>
        <x:v>■</x:v>
      </x:c>
      <x:c r="AS65" s="36" t="str">
        <x:f>IF(AND(AS$3&lt;=$F65,AS$3+6&gt;=$E65),"■","")</x:f>
      </x:c>
    </x:row>
    <x:row r="66">
      <x:c r="A66" s="27" t="str">
        <x:v>AT-103</x:v>
      </x:c>
      <x:c r="B66" s="27" t="str">
        <x:v>8.1.4</x:v>
      </x:c>
      <x:c r="C66" s="27" t="str">
        <x:v>Benefits measurement handover</x:v>
      </x:c>
      <x:c r="D66" s="27" t="str">
        <x:v>Project Manager</x:v>
      </x:c>
      <x:c r="E66" s="35" t="n">
        <x:v>46289</x:v>
      </x:c>
      <x:c r="F66" s="35" t="n">
        <x:v>46293</x:v>
      </x:c>
      <x:c r="G66" s="36" t="str">
        <x:f>IF(AND(G$3&lt;=$F66,G$3+6&gt;=$E66),"■","")</x:f>
      </x:c>
      <x:c r="H66" s="36" t="str">
        <x:f>IF(AND(H$3&lt;=$F66,H$3+6&gt;=$E66),"■","")</x:f>
      </x:c>
      <x:c r="I66" s="36" t="str">
        <x:f>IF(AND(I$3&lt;=$F66,I$3+6&gt;=$E66),"■","")</x:f>
      </x:c>
      <x:c r="J66" s="36" t="str">
        <x:f>IF(AND(J$3&lt;=$F66,J$3+6&gt;=$E66),"■","")</x:f>
      </x:c>
      <x:c r="K66" s="36" t="str">
        <x:f>IF(AND(K$3&lt;=$F66,K$3+6&gt;=$E66),"■","")</x:f>
      </x:c>
      <x:c r="L66" s="36" t="str">
        <x:f>IF(AND(L$3&lt;=$F66,L$3+6&gt;=$E66),"■","")</x:f>
      </x:c>
      <x:c r="M66" s="36" t="str">
        <x:f>IF(AND(M$3&lt;=$F66,M$3+6&gt;=$E66),"■","")</x:f>
      </x:c>
      <x:c r="N66" s="36" t="str">
        <x:f>IF(AND(N$3&lt;=$F66,N$3+6&gt;=$E66),"■","")</x:f>
      </x:c>
      <x:c r="O66" s="36" t="str">
        <x:f>IF(AND(O$3&lt;=$F66,O$3+6&gt;=$E66),"■","")</x:f>
      </x:c>
      <x:c r="P66" s="36" t="str">
        <x:f>IF(AND(P$3&lt;=$F66,P$3+6&gt;=$E66),"■","")</x:f>
      </x:c>
      <x:c r="Q66" s="36" t="str">
        <x:f>IF(AND(Q$3&lt;=$F66,Q$3+6&gt;=$E66),"■","")</x:f>
      </x:c>
      <x:c r="R66" s="36" t="str">
        <x:f>IF(AND(R$3&lt;=$F66,R$3+6&gt;=$E66),"■","")</x:f>
      </x:c>
      <x:c r="S66" s="36" t="str">
        <x:f>IF(AND(S$3&lt;=$F66,S$3+6&gt;=$E66),"■","")</x:f>
      </x:c>
      <x:c r="T66" s="36" t="str">
        <x:f>IF(AND(T$3&lt;=$F66,T$3+6&gt;=$E66),"■","")</x:f>
      </x:c>
      <x:c r="U66" s="36" t="str">
        <x:f>IF(AND(U$3&lt;=$F66,U$3+6&gt;=$E66),"■","")</x:f>
      </x:c>
      <x:c r="V66" s="36" t="str">
        <x:f>IF(AND(V$3&lt;=$F66,V$3+6&gt;=$E66),"■","")</x:f>
      </x:c>
      <x:c r="W66" s="36" t="str">
        <x:f>IF(AND(W$3&lt;=$F66,W$3+6&gt;=$E66),"■","")</x:f>
      </x:c>
      <x:c r="X66" s="36" t="str">
        <x:f>IF(AND(X$3&lt;=$F66,X$3+6&gt;=$E66),"■","")</x:f>
      </x:c>
      <x:c r="Y66" s="36" t="str">
        <x:f>IF(AND(Y$3&lt;=$F66,Y$3+6&gt;=$E66),"■","")</x:f>
      </x:c>
      <x:c r="Z66" s="36" t="str">
        <x:f>IF(AND(Z$3&lt;=$F66,Z$3+6&gt;=$E66),"■","")</x:f>
      </x:c>
      <x:c r="AA66" s="36" t="str">
        <x:f>IF(AND(AA$3&lt;=$F66,AA$3+6&gt;=$E66),"■","")</x:f>
      </x:c>
      <x:c r="AB66" s="36" t="str">
        <x:f>IF(AND(AB$3&lt;=$F66,AB$3+6&gt;=$E66),"■","")</x:f>
      </x:c>
      <x:c r="AC66" s="36" t="str">
        <x:f>IF(AND(AC$3&lt;=$F66,AC$3+6&gt;=$E66),"■","")</x:f>
      </x:c>
      <x:c r="AD66" s="36" t="str">
        <x:f>IF(AND(AD$3&lt;=$F66,AD$3+6&gt;=$E66),"■","")</x:f>
      </x:c>
      <x:c r="AE66" s="36" t="str">
        <x:f>IF(AND(AE$3&lt;=$F66,AE$3+6&gt;=$E66),"■","")</x:f>
      </x:c>
      <x:c r="AF66" s="36" t="str">
        <x:f>IF(AND(AF$3&lt;=$F66,AF$3+6&gt;=$E66),"■","")</x:f>
      </x:c>
      <x:c r="AG66" s="36" t="str">
        <x:f>IF(AND(AG$3&lt;=$F66,AG$3+6&gt;=$E66),"■","")</x:f>
      </x:c>
      <x:c r="AH66" s="36" t="str">
        <x:f>IF(AND(AH$3&lt;=$F66,AH$3+6&gt;=$E66),"■","")</x:f>
      </x:c>
      <x:c r="AI66" s="36" t="str">
        <x:f>IF(AND(AI$3&lt;=$F66,AI$3+6&gt;=$E66),"■","")</x:f>
      </x:c>
      <x:c r="AJ66" s="36" t="str">
        <x:f>IF(AND(AJ$3&lt;=$F66,AJ$3+6&gt;=$E66),"■","")</x:f>
      </x:c>
      <x:c r="AK66" s="36" t="str">
        <x:f>IF(AND(AK$3&lt;=$F66,AK$3+6&gt;=$E66),"■","")</x:f>
      </x:c>
      <x:c r="AL66" s="36" t="str">
        <x:f>IF(AND(AL$3&lt;=$F66,AL$3+6&gt;=$E66),"■","")</x:f>
      </x:c>
      <x:c r="AM66" s="36" t="str">
        <x:f>IF(AND(AM$3&lt;=$F66,AM$3+6&gt;=$E66),"■","")</x:f>
      </x:c>
      <x:c r="AN66" s="36" t="str">
        <x:f>IF(AND(AN$3&lt;=$F66,AN$3+6&gt;=$E66),"■","")</x:f>
      </x:c>
      <x:c r="AO66" s="36" t="str">
        <x:f>IF(AND(AO$3&lt;=$F66,AO$3+6&gt;=$E66),"■","")</x:f>
      </x:c>
      <x:c r="AP66" s="36" t="str">
        <x:f>IF(AND(AP$3&lt;=$F66,AP$3+6&gt;=$E66),"■","")</x:f>
      </x:c>
      <x:c r="AQ66" s="36" t="str">
        <x:f>IF(AND(AQ$3&lt;=$F66,AQ$3+6&gt;=$E66),"■","")</x:f>
      </x:c>
      <x:c r="AR66" s="36" t="str">
        <x:f>IF(AND(AR$3&lt;=$F66,AR$3+6&gt;=$E66),"■","")</x:f>
        <x:v>■</x:v>
      </x:c>
      <x:c r="AS66" s="36" t="str">
        <x:f>IF(AND(AS$3&lt;=$F66,AS$3+6&gt;=$E66),"■","")</x:f>
        <x:v>■</x:v>
      </x:c>
    </x:row>
    <x:row r="67">
      <x:c r="A67" s="27" t="str">
        <x:v>AT-104</x:v>
      </x:c>
      <x:c r="B67" s="27" t="str">
        <x:v>8.1.5</x:v>
      </x:c>
      <x:c r="C67" s="27" t="str">
        <x:v>Prepare project closure report</x:v>
      </x:c>
      <x:c r="D67" s="27" t="str">
        <x:v>Project Manager</x:v>
      </x:c>
      <x:c r="E67" s="35" t="n">
        <x:v>46293</x:v>
      </x:c>
      <x:c r="F67" s="35" t="n">
        <x:v>46294</x:v>
      </x:c>
      <x:c r="G67" s="36" t="str">
        <x:f>IF(AND(G$3&lt;=$F67,G$3+6&gt;=$E67),"■","")</x:f>
      </x:c>
      <x:c r="H67" s="36" t="str">
        <x:f>IF(AND(H$3&lt;=$F67,H$3+6&gt;=$E67),"■","")</x:f>
      </x:c>
      <x:c r="I67" s="36" t="str">
        <x:f>IF(AND(I$3&lt;=$F67,I$3+6&gt;=$E67),"■","")</x:f>
      </x:c>
      <x:c r="J67" s="36" t="str">
        <x:f>IF(AND(J$3&lt;=$F67,J$3+6&gt;=$E67),"■","")</x:f>
      </x:c>
      <x:c r="K67" s="36" t="str">
        <x:f>IF(AND(K$3&lt;=$F67,K$3+6&gt;=$E67),"■","")</x:f>
      </x:c>
      <x:c r="L67" s="36" t="str">
        <x:f>IF(AND(L$3&lt;=$F67,L$3+6&gt;=$E67),"■","")</x:f>
      </x:c>
      <x:c r="M67" s="36" t="str">
        <x:f>IF(AND(M$3&lt;=$F67,M$3+6&gt;=$E67),"■","")</x:f>
      </x:c>
      <x:c r="N67" s="36" t="str">
        <x:f>IF(AND(N$3&lt;=$F67,N$3+6&gt;=$E67),"■","")</x:f>
      </x:c>
      <x:c r="O67" s="36" t="str">
        <x:f>IF(AND(O$3&lt;=$F67,O$3+6&gt;=$E67),"■","")</x:f>
      </x:c>
      <x:c r="P67" s="36" t="str">
        <x:f>IF(AND(P$3&lt;=$F67,P$3+6&gt;=$E67),"■","")</x:f>
      </x:c>
      <x:c r="Q67" s="36" t="str">
        <x:f>IF(AND(Q$3&lt;=$F67,Q$3+6&gt;=$E67),"■","")</x:f>
      </x:c>
      <x:c r="R67" s="36" t="str">
        <x:f>IF(AND(R$3&lt;=$F67,R$3+6&gt;=$E67),"■","")</x:f>
      </x:c>
      <x:c r="S67" s="36" t="str">
        <x:f>IF(AND(S$3&lt;=$F67,S$3+6&gt;=$E67),"■","")</x:f>
      </x:c>
      <x:c r="T67" s="36" t="str">
        <x:f>IF(AND(T$3&lt;=$F67,T$3+6&gt;=$E67),"■","")</x:f>
      </x:c>
      <x:c r="U67" s="36" t="str">
        <x:f>IF(AND(U$3&lt;=$F67,U$3+6&gt;=$E67),"■","")</x:f>
      </x:c>
      <x:c r="V67" s="36" t="str">
        <x:f>IF(AND(V$3&lt;=$F67,V$3+6&gt;=$E67),"■","")</x:f>
      </x:c>
      <x:c r="W67" s="36" t="str">
        <x:f>IF(AND(W$3&lt;=$F67,W$3+6&gt;=$E67),"■","")</x:f>
      </x:c>
      <x:c r="X67" s="36" t="str">
        <x:f>IF(AND(X$3&lt;=$F67,X$3+6&gt;=$E67),"■","")</x:f>
      </x:c>
      <x:c r="Y67" s="36" t="str">
        <x:f>IF(AND(Y$3&lt;=$F67,Y$3+6&gt;=$E67),"■","")</x:f>
      </x:c>
      <x:c r="Z67" s="36" t="str">
        <x:f>IF(AND(Z$3&lt;=$F67,Z$3+6&gt;=$E67),"■","")</x:f>
      </x:c>
      <x:c r="AA67" s="36" t="str">
        <x:f>IF(AND(AA$3&lt;=$F67,AA$3+6&gt;=$E67),"■","")</x:f>
      </x:c>
      <x:c r="AB67" s="36" t="str">
        <x:f>IF(AND(AB$3&lt;=$F67,AB$3+6&gt;=$E67),"■","")</x:f>
      </x:c>
      <x:c r="AC67" s="36" t="str">
        <x:f>IF(AND(AC$3&lt;=$F67,AC$3+6&gt;=$E67),"■","")</x:f>
      </x:c>
      <x:c r="AD67" s="36" t="str">
        <x:f>IF(AND(AD$3&lt;=$F67,AD$3+6&gt;=$E67),"■","")</x:f>
      </x:c>
      <x:c r="AE67" s="36" t="str">
        <x:f>IF(AND(AE$3&lt;=$F67,AE$3+6&gt;=$E67),"■","")</x:f>
      </x:c>
      <x:c r="AF67" s="36" t="str">
        <x:f>IF(AND(AF$3&lt;=$F67,AF$3+6&gt;=$E67),"■","")</x:f>
      </x:c>
      <x:c r="AG67" s="36" t="str">
        <x:f>IF(AND(AG$3&lt;=$F67,AG$3+6&gt;=$E67),"■","")</x:f>
      </x:c>
      <x:c r="AH67" s="36" t="str">
        <x:f>IF(AND(AH$3&lt;=$F67,AH$3+6&gt;=$E67),"■","")</x:f>
      </x:c>
      <x:c r="AI67" s="36" t="str">
        <x:f>IF(AND(AI$3&lt;=$F67,AI$3+6&gt;=$E67),"■","")</x:f>
      </x:c>
      <x:c r="AJ67" s="36" t="str">
        <x:f>IF(AND(AJ$3&lt;=$F67,AJ$3+6&gt;=$E67),"■","")</x:f>
      </x:c>
      <x:c r="AK67" s="36" t="str">
        <x:f>IF(AND(AK$3&lt;=$F67,AK$3+6&gt;=$E67),"■","")</x:f>
      </x:c>
      <x:c r="AL67" s="36" t="str">
        <x:f>IF(AND(AL$3&lt;=$F67,AL$3+6&gt;=$E67),"■","")</x:f>
      </x:c>
      <x:c r="AM67" s="36" t="str">
        <x:f>IF(AND(AM$3&lt;=$F67,AM$3+6&gt;=$E67),"■","")</x:f>
      </x:c>
      <x:c r="AN67" s="36" t="str">
        <x:f>IF(AND(AN$3&lt;=$F67,AN$3+6&gt;=$E67),"■","")</x:f>
      </x:c>
      <x:c r="AO67" s="36" t="str">
        <x:f>IF(AND(AO$3&lt;=$F67,AO$3+6&gt;=$E67),"■","")</x:f>
      </x:c>
      <x:c r="AP67" s="36" t="str">
        <x:f>IF(AND(AP$3&lt;=$F67,AP$3+6&gt;=$E67),"■","")</x:f>
      </x:c>
      <x:c r="AQ67" s="36" t="str">
        <x:f>IF(AND(AQ$3&lt;=$F67,AQ$3+6&gt;=$E67),"■","")</x:f>
      </x:c>
      <x:c r="AR67" s="36" t="str">
        <x:f>IF(AND(AR$3&lt;=$F67,AR$3+6&gt;=$E67),"■","")</x:f>
      </x:c>
      <x:c r="AS67" s="36" t="str">
        <x:f>IF(AND(AS$3&lt;=$F67,AS$3+6&gt;=$E67),"■","")</x:f>
        <x:v>■</x:v>
      </x:c>
    </x:row>
    <x:row r="68">
      <x:c r="A68" s="27" t="str">
        <x:v>AT-105</x:v>
      </x:c>
      <x:c r="B68" s="27" t="str">
        <x:v>8.1.5</x:v>
      </x:c>
      <x:c r="C68" s="27" t="str">
        <x:v>Project closure approved</x:v>
      </x:c>
      <x:c r="D68" s="27" t="str">
        <x:v>Executive Sponsor</x:v>
      </x:c>
      <x:c r="E68" s="35" t="n">
        <x:v>46295</x:v>
      </x:c>
      <x:c r="F68" s="35" t="n">
        <x:v>46295</x:v>
      </x:c>
      <x:c r="G68" s="36" t="str">
        <x:f>IF(AND(G$3&lt;=$F68,G$3+6&gt;=$E68),"■","")</x:f>
      </x:c>
      <x:c r="H68" s="36" t="str">
        <x:f>IF(AND(H$3&lt;=$F68,H$3+6&gt;=$E68),"■","")</x:f>
      </x:c>
      <x:c r="I68" s="36" t="str">
        <x:f>IF(AND(I$3&lt;=$F68,I$3+6&gt;=$E68),"■","")</x:f>
      </x:c>
      <x:c r="J68" s="36" t="str">
        <x:f>IF(AND(J$3&lt;=$F68,J$3+6&gt;=$E68),"■","")</x:f>
      </x:c>
      <x:c r="K68" s="36" t="str">
        <x:f>IF(AND(K$3&lt;=$F68,K$3+6&gt;=$E68),"■","")</x:f>
      </x:c>
      <x:c r="L68" s="36" t="str">
        <x:f>IF(AND(L$3&lt;=$F68,L$3+6&gt;=$E68),"■","")</x:f>
      </x:c>
      <x:c r="M68" s="36" t="str">
        <x:f>IF(AND(M$3&lt;=$F68,M$3+6&gt;=$E68),"■","")</x:f>
      </x:c>
      <x:c r="N68" s="36" t="str">
        <x:f>IF(AND(N$3&lt;=$F68,N$3+6&gt;=$E68),"■","")</x:f>
      </x:c>
      <x:c r="O68" s="36" t="str">
        <x:f>IF(AND(O$3&lt;=$F68,O$3+6&gt;=$E68),"■","")</x:f>
      </x:c>
      <x:c r="P68" s="36" t="str">
        <x:f>IF(AND(P$3&lt;=$F68,P$3+6&gt;=$E68),"■","")</x:f>
      </x:c>
      <x:c r="Q68" s="36" t="str">
        <x:f>IF(AND(Q$3&lt;=$F68,Q$3+6&gt;=$E68),"■","")</x:f>
      </x:c>
      <x:c r="R68" s="36" t="str">
        <x:f>IF(AND(R$3&lt;=$F68,R$3+6&gt;=$E68),"■","")</x:f>
      </x:c>
      <x:c r="S68" s="36" t="str">
        <x:f>IF(AND(S$3&lt;=$F68,S$3+6&gt;=$E68),"■","")</x:f>
      </x:c>
      <x:c r="T68" s="36" t="str">
        <x:f>IF(AND(T$3&lt;=$F68,T$3+6&gt;=$E68),"■","")</x:f>
      </x:c>
      <x:c r="U68" s="36" t="str">
        <x:f>IF(AND(U$3&lt;=$F68,U$3+6&gt;=$E68),"■","")</x:f>
      </x:c>
      <x:c r="V68" s="36" t="str">
        <x:f>IF(AND(V$3&lt;=$F68,V$3+6&gt;=$E68),"■","")</x:f>
      </x:c>
      <x:c r="W68" s="36" t="str">
        <x:f>IF(AND(W$3&lt;=$F68,W$3+6&gt;=$E68),"■","")</x:f>
      </x:c>
      <x:c r="X68" s="36" t="str">
        <x:f>IF(AND(X$3&lt;=$F68,X$3+6&gt;=$E68),"■","")</x:f>
      </x:c>
      <x:c r="Y68" s="36" t="str">
        <x:f>IF(AND(Y$3&lt;=$F68,Y$3+6&gt;=$E68),"■","")</x:f>
      </x:c>
      <x:c r="Z68" s="36" t="str">
        <x:f>IF(AND(Z$3&lt;=$F68,Z$3+6&gt;=$E68),"■","")</x:f>
      </x:c>
      <x:c r="AA68" s="36" t="str">
        <x:f>IF(AND(AA$3&lt;=$F68,AA$3+6&gt;=$E68),"■","")</x:f>
      </x:c>
      <x:c r="AB68" s="36" t="str">
        <x:f>IF(AND(AB$3&lt;=$F68,AB$3+6&gt;=$E68),"■","")</x:f>
      </x:c>
      <x:c r="AC68" s="36" t="str">
        <x:f>IF(AND(AC$3&lt;=$F68,AC$3+6&gt;=$E68),"■","")</x:f>
      </x:c>
      <x:c r="AD68" s="36" t="str">
        <x:f>IF(AND(AD$3&lt;=$F68,AD$3+6&gt;=$E68),"■","")</x:f>
      </x:c>
      <x:c r="AE68" s="36" t="str">
        <x:f>IF(AND(AE$3&lt;=$F68,AE$3+6&gt;=$E68),"■","")</x:f>
      </x:c>
      <x:c r="AF68" s="36" t="str">
        <x:f>IF(AND(AF$3&lt;=$F68,AF$3+6&gt;=$E68),"■","")</x:f>
      </x:c>
      <x:c r="AG68" s="36" t="str">
        <x:f>IF(AND(AG$3&lt;=$F68,AG$3+6&gt;=$E68),"■","")</x:f>
      </x:c>
      <x:c r="AH68" s="36" t="str">
        <x:f>IF(AND(AH$3&lt;=$F68,AH$3+6&gt;=$E68),"■","")</x:f>
      </x:c>
      <x:c r="AI68" s="36" t="str">
        <x:f>IF(AND(AI$3&lt;=$F68,AI$3+6&gt;=$E68),"■","")</x:f>
      </x:c>
      <x:c r="AJ68" s="36" t="str">
        <x:f>IF(AND(AJ$3&lt;=$F68,AJ$3+6&gt;=$E68),"■","")</x:f>
      </x:c>
      <x:c r="AK68" s="36" t="str">
        <x:f>IF(AND(AK$3&lt;=$F68,AK$3+6&gt;=$E68),"■","")</x:f>
      </x:c>
      <x:c r="AL68" s="36" t="str">
        <x:f>IF(AND(AL$3&lt;=$F68,AL$3+6&gt;=$E68),"■","")</x:f>
      </x:c>
      <x:c r="AM68" s="36" t="str">
        <x:f>IF(AND(AM$3&lt;=$F68,AM$3+6&gt;=$E68),"■","")</x:f>
      </x:c>
      <x:c r="AN68" s="36" t="str">
        <x:f>IF(AND(AN$3&lt;=$F68,AN$3+6&gt;=$E68),"■","")</x:f>
      </x:c>
      <x:c r="AO68" s="36" t="str">
        <x:f>IF(AND(AO$3&lt;=$F68,AO$3+6&gt;=$E68),"■","")</x:f>
      </x:c>
      <x:c r="AP68" s="36" t="str">
        <x:f>IF(AND(AP$3&lt;=$F68,AP$3+6&gt;=$E68),"■","")</x:f>
      </x:c>
      <x:c r="AQ68" s="36" t="str">
        <x:f>IF(AND(AQ$3&lt;=$F68,AQ$3+6&gt;=$E68),"■","")</x:f>
      </x:c>
      <x:c r="AR68" s="36" t="str">
        <x:f>IF(AND(AR$3&lt;=$F68,AR$3+6&gt;=$E68),"■","")</x:f>
      </x:c>
      <x:c r="AS68" s="36" t="str">
        <x:f>IF(AND(AS$3&lt;=$F68,AS$3+6&gt;=$E68),"■","")</x:f>
        <x:v>■</x:v>
      </x:c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3" t="str">
        <x:v>Status</x:v>
      </x:c>
      <x:c r="B1" s="23" t="str">
        <x:v>Activity Type</x:v>
      </x:c>
      <x:c r="C1" s="23" t="str">
        <x:v>Critical</x:v>
      </x:c>
      <x:c r="D1" s="23" t="str">
        <x:v>Owner</x:v>
      </x:c>
    </x:row>
    <x:row r="2">
      <x:c r="A2" t="str">
        <x:v>Not Started</x:v>
      </x:c>
      <x:c r="B2" t="str">
        <x:v>Activity</x:v>
      </x:c>
      <x:c r="C2" t="str">
        <x:v>Yes</x:v>
      </x:c>
      <x:c r="D2" t="str">
        <x:v>Project Manager</x:v>
      </x:c>
    </x:row>
    <x:row r="3">
      <x:c r="A3" t="str">
        <x:v>In Progress</x:v>
      </x:c>
      <x:c r="B3" t="str">
        <x:v>Milestone</x:v>
      </x:c>
      <x:c r="C3" t="str">
        <x:v>No</x:v>
      </x:c>
      <x:c r="D3" t="str">
        <x:v>Executive Sponsor</x:v>
      </x:c>
    </x:row>
    <x:row r="4">
      <x:c r="A4" t="str">
        <x:v>Complete</x:v>
      </x:c>
      <x:c r="B4" t="str"/>
      <x:c r="C4" t="str"/>
      <x:c r="D4" t="str">
        <x:v>Business Owner</x:v>
      </x:c>
    </x:row>
    <x:row r="5">
      <x:c r="A5" t="str">
        <x:v>On Hold</x:v>
      </x:c>
      <x:c r="B5" t="str"/>
      <x:c r="C5" t="str"/>
      <x:c r="D5" t="str">
        <x:v>Technology Lead</x:v>
      </x:c>
    </x:row>
    <x:row r="6">
      <x:c r="A6" t="str"/>
      <x:c r="B6" t="str"/>
      <x:c r="C6" t="str"/>
      <x:c r="D6" t="str">
        <x:v>Solution Architect</x:v>
      </x:c>
    </x:row>
    <x:row r="7">
      <x:c r="A7" t="str"/>
      <x:c r="B7" t="str"/>
      <x:c r="C7" t="str"/>
      <x:c r="D7" t="str">
        <x:v>Business Analysis Lead</x:v>
      </x:c>
    </x:row>
    <x:row r="8">
      <x:c r="A8" t="str"/>
      <x:c r="B8" t="str"/>
      <x:c r="C8" t="str"/>
      <x:c r="D8" t="str">
        <x:v>Application Development Lead</x:v>
      </x:c>
    </x:row>
    <x:row r="9">
      <x:c r="A9" t="str"/>
      <x:c r="B9" t="str"/>
      <x:c r="C9" t="str"/>
      <x:c r="D9" t="str">
        <x:v>Integration &amp; Data Migration Lead</x:v>
      </x:c>
    </x:row>
    <x:row r="10">
      <x:c r="A10" t="str"/>
      <x:c r="B10" t="str"/>
      <x:c r="C10" t="str"/>
      <x:c r="D10" t="str">
        <x:v>Validation &amp; Deployment Lead</x:v>
      </x:c>
    </x:row>
  </x:sheetData>
  <x:pageMargins left="0.7" right="0.7" top="0.75" bottom="0.75" header="0.3" footer="0.3"/>
</x:worksheet>
</file>