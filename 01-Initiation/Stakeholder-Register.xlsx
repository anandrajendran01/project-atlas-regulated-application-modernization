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NJU M KAIMAL\Downloads\"/>
    </mc:Choice>
  </mc:AlternateContent>
  <xr:revisionPtr revIDLastSave="0" documentId="13_ncr:1_{D2380C1B-F20C-4D23-9198-13AFACCE0C5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Overview" sheetId="1" r:id="rId1"/>
    <sheet name="Stakeholder Register" sheetId="2" r:id="rId2"/>
    <sheet name="Engagement Plan" sheetId="3" r:id="rId3"/>
    <sheet name="Assessment Guid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3" i="3" l="1"/>
  <c r="B23" i="3"/>
  <c r="C22" i="3"/>
  <c r="B22" i="3"/>
  <c r="C21" i="3"/>
  <c r="B21" i="3"/>
  <c r="C20" i="3"/>
  <c r="B20" i="3"/>
  <c r="C19" i="3"/>
  <c r="B19" i="3"/>
  <c r="C18" i="3"/>
  <c r="B18" i="3"/>
  <c r="C17" i="3"/>
  <c r="B17" i="3"/>
  <c r="C16" i="3"/>
  <c r="B16" i="3"/>
  <c r="C15" i="3"/>
  <c r="B15" i="3"/>
  <c r="C14" i="3"/>
  <c r="B14" i="3"/>
  <c r="C13" i="3"/>
  <c r="B13" i="3"/>
  <c r="C12" i="3"/>
  <c r="B12" i="3"/>
  <c r="C11" i="3"/>
  <c r="B11" i="3"/>
  <c r="C10" i="3"/>
  <c r="B10" i="3"/>
  <c r="C9" i="3"/>
  <c r="B9" i="3"/>
  <c r="C8" i="3"/>
  <c r="B8" i="3"/>
  <c r="C7" i="3"/>
  <c r="B7" i="3"/>
  <c r="C6" i="3"/>
  <c r="B6" i="3"/>
  <c r="N24" i="2"/>
  <c r="H24" i="2"/>
  <c r="N23" i="2"/>
  <c r="H23" i="2"/>
  <c r="N22" i="2"/>
  <c r="H22" i="2"/>
  <c r="N21" i="2"/>
  <c r="H21" i="2"/>
  <c r="N20" i="2"/>
  <c r="H20" i="2"/>
  <c r="N19" i="2"/>
  <c r="H19" i="2"/>
  <c r="N18" i="2"/>
  <c r="H18" i="2"/>
  <c r="N17" i="2"/>
  <c r="H17" i="2"/>
  <c r="N16" i="2"/>
  <c r="H16" i="2"/>
  <c r="N15" i="2"/>
  <c r="H15" i="2"/>
  <c r="N14" i="2"/>
  <c r="H14" i="2"/>
  <c r="N13" i="2"/>
  <c r="H13" i="2"/>
  <c r="N12" i="2"/>
  <c r="H12" i="2"/>
  <c r="N11" i="2"/>
  <c r="H11" i="2"/>
  <c r="N10" i="2"/>
  <c r="H10" i="2"/>
  <c r="N9" i="2"/>
  <c r="H9" i="2"/>
  <c r="N8" i="2"/>
  <c r="H8" i="2"/>
  <c r="N7" i="2"/>
  <c r="H7" i="2"/>
  <c r="E9" i="1"/>
  <c r="E8" i="1"/>
  <c r="B8" i="1"/>
  <c r="E7" i="1"/>
  <c r="B7" i="1"/>
  <c r="E6" i="1"/>
  <c r="B6" i="1"/>
</calcChain>
</file>

<file path=xl/sharedStrings.xml><?xml version="1.0" encoding="utf-8"?>
<sst xmlns="http://schemas.openxmlformats.org/spreadsheetml/2006/main" count="392" uniqueCount="282">
  <si>
    <t>PROJECT ATLAS  |  Stakeholder Management</t>
  </si>
  <si>
    <t>Version 1.0 • Synthetic example • M1 (Initiation)</t>
  </si>
  <si>
    <t>STAKEHOLDERS</t>
  </si>
  <si>
    <t>COUNT</t>
  </si>
  <si>
    <t>POWER–INTEREST RESPONSE</t>
  </si>
  <si>
    <t>OWNER</t>
  </si>
  <si>
    <t>Identified roles</t>
  </si>
  <si>
    <t>Manage closely</t>
  </si>
  <si>
    <t>Named engagement owner in register</t>
  </si>
  <si>
    <t>Keep satisfied</t>
  </si>
  <si>
    <t>Open engagement gaps</t>
  </si>
  <si>
    <t>Keep informed</t>
  </si>
  <si>
    <t>Monitor</t>
  </si>
  <si>
    <t>HOW TO USE</t>
  </si>
  <si>
    <t>1. Review Stakeholder Register and validate role, power, interest, engagement state and owner.</t>
  </si>
  <si>
    <t>2. Use priority categories to allocate engagement effort; high power + high interest = manage closely.</t>
  </si>
  <si>
    <t>3. Review engagement gaps and execute the actions in Engagement Plan.</t>
  </si>
  <si>
    <t>4. Reassess at major gates and after material scope, organization, or risk changes.</t>
  </si>
  <si>
    <t>5. Public portfolio version: role-based and synthetic. Real engagement assessments are restricted.</t>
  </si>
  <si>
    <t>PROJECT ATLAS  |  Stakeholder Register</t>
  </si>
  <si>
    <t>Simulation • M1, after charter approval • Version 1.0 • All roles and assessments synthetic</t>
  </si>
  <si>
    <t>Public, role-based portfolio demonstration only. Do not add real names, contacts, or confidential stakeholder assessments.</t>
  </si>
  <si>
    <t>ID</t>
  </si>
  <si>
    <t>Stakeholder / Role</t>
  </si>
  <si>
    <t>Group</t>
  </si>
  <si>
    <t>Region</t>
  </si>
  <si>
    <t>Project interest / responsibility</t>
  </si>
  <si>
    <t>Power (1–5)</t>
  </si>
  <si>
    <t>Interest (1–5)</t>
  </si>
  <si>
    <t>Priority</t>
  </si>
  <si>
    <t>Current engagement</t>
  </si>
  <si>
    <t>Target engagement</t>
  </si>
  <si>
    <t>Engagement owner</t>
  </si>
  <si>
    <t>Principal concern</t>
  </si>
  <si>
    <t>Stage-gate / decision touchpoint</t>
  </si>
  <si>
    <t>Engagement gap</t>
  </si>
  <si>
    <t>ST-01</t>
  </si>
  <si>
    <t>Executive Sponsor</t>
  </si>
  <si>
    <t>Executive</t>
  </si>
  <si>
    <t>Global</t>
  </si>
  <si>
    <t>Strategic outcomes, funding and major decisions</t>
  </si>
  <si>
    <t>Supportive</t>
  </si>
  <si>
    <t>Leading</t>
  </si>
  <si>
    <t>Project Manager</t>
  </si>
  <si>
    <t>Benefits realization; cost and schedule exposure</t>
  </si>
  <si>
    <t>Charter, Steering Committee, investment and go/no-go</t>
  </si>
  <si>
    <t>ST-02</t>
  </si>
  <si>
    <t>Business Owner</t>
  </si>
  <si>
    <t>Business</t>
  </si>
  <si>
    <t>US / UK</t>
  </si>
  <si>
    <t>Business outcomes, requirements, UAT and benefits ownership</t>
  </si>
  <si>
    <t>Workflow continuity and business acceptance</t>
  </si>
  <si>
    <t>Requirements baseline, UAT and benefits handover</t>
  </si>
  <si>
    <t>ST-03</t>
  </si>
  <si>
    <t>Technology Director</t>
  </si>
  <si>
    <t>Technology</t>
  </si>
  <si>
    <t>Technology capacity, technical direction and readiness</t>
  </si>
  <si>
    <t>Solution supportability and resource conflicts</t>
  </si>
  <si>
    <t>Architecture/design, capacity and release readiness</t>
  </si>
  <si>
    <t>ST-04</t>
  </si>
  <si>
    <t>Quality &amp; Compliance Lead</t>
  </si>
  <si>
    <t>Compliance</t>
  </si>
  <si>
    <t>Validation strategy, traceability and regulated controls</t>
  </si>
  <si>
    <t>Neutral</t>
  </si>
  <si>
    <t>Validation &amp; QA Lead</t>
  </si>
  <si>
    <t>Validation evidence and compliant release</t>
  </si>
  <si>
    <t>Validation strategy, validation exit and release sign-off</t>
  </si>
  <si>
    <t>ST-05</t>
  </si>
  <si>
    <t>PMO</t>
  </si>
  <si>
    <t>India / Global</t>
  </si>
  <si>
    <t>Integrated plan, cost, RAID, change and coordination</t>
  </si>
  <si>
    <t>Timely decisions and balanced delivery constraints</t>
  </si>
  <si>
    <t>All stage-gate recommendations and governance</t>
  </si>
  <si>
    <t>ST-06</t>
  </si>
  <si>
    <t>Solution Architect</t>
  </si>
  <si>
    <t>India</t>
  </si>
  <si>
    <t>Design integrity and cross-system architecture</t>
  </si>
  <si>
    <t>Architecture fit, nonfunctional requirements</t>
  </si>
  <si>
    <t>Design approval and production readiness</t>
  </si>
  <si>
    <t>ST-07</t>
  </si>
  <si>
    <t>Application Development Lead</t>
  </si>
  <si>
    <t>Delivery</t>
  </si>
  <si>
    <t>Application build, technical quality and fixes</t>
  </si>
  <si>
    <t>Build capacity and requirements stability</t>
  </si>
  <si>
    <t>Build completion and defect triage</t>
  </si>
  <si>
    <t>ST-08</t>
  </si>
  <si>
    <t>Integration &amp; Migration Lead</t>
  </si>
  <si>
    <t>Four interfaces, mapping and migration quality</t>
  </si>
  <si>
    <t>Interface dependencies and source-data quality</t>
  </si>
  <si>
    <t>Integration/SIT exit and migration rehearsal</t>
  </si>
  <si>
    <t>ST-09</t>
  </si>
  <si>
    <t>Quality</t>
  </si>
  <si>
    <t>Test execution, defects and requirements traceability</t>
  </si>
  <si>
    <t>Test coverage, defect closure and evidence</t>
  </si>
  <si>
    <t>SIT exit, validation exit and release readiness</t>
  </si>
  <si>
    <t>ST-10</t>
  </si>
  <si>
    <t>Business SME / UAT Lead</t>
  </si>
  <si>
    <t>UK</t>
  </si>
  <si>
    <t>Scenario validation and representative user acceptance</t>
  </si>
  <si>
    <t>UAT time allocation and critical workflows</t>
  </si>
  <si>
    <t>Requirements workshops and UAT sign-off</t>
  </si>
  <si>
    <t>ST-11</t>
  </si>
  <si>
    <t>Information Security Lead</t>
  </si>
  <si>
    <t>Security</t>
  </si>
  <si>
    <t>Security assessment and release controls</t>
  </si>
  <si>
    <t>Vulnerabilities, access and security findings</t>
  </si>
  <si>
    <t>Security assessment and readiness sign-off</t>
  </si>
  <si>
    <t>ST-12</t>
  </si>
  <si>
    <t>Operations &amp; Service Transition Lead</t>
  </si>
  <si>
    <t>Operations</t>
  </si>
  <si>
    <t>India / UK</t>
  </si>
  <si>
    <t>Monitoring, runbooks, support readiness and handover</t>
  </si>
  <si>
    <t>Support workload and incomplete handover</t>
  </si>
  <si>
    <t>Cutover, go-live readiness and hypercare exit</t>
  </si>
  <si>
    <t>ST-13</t>
  </si>
  <si>
    <t>Regional Business Representatives</t>
  </si>
  <si>
    <t>US / UK / APAC</t>
  </si>
  <si>
    <t>Regional processes, adoption and deployment impact</t>
  </si>
  <si>
    <t>Local workflow changes and communication</t>
  </si>
  <si>
    <t>Requirements validation, training and rollout</t>
  </si>
  <si>
    <t>ST-14</t>
  </si>
  <si>
    <t>Finance Business Partner</t>
  </si>
  <si>
    <t>Finance</t>
  </si>
  <si>
    <t>Forecasting, expenditure and financial controls</t>
  </si>
  <si>
    <t>Forecast accuracy, invoices and budget tolerance</t>
  </si>
  <si>
    <t>Monthly cost review and funding decisions</t>
  </si>
  <si>
    <t>ST-15</t>
  </si>
  <si>
    <t>Procurement / Vendor Lead</t>
  </si>
  <si>
    <t>Procurement</t>
  </si>
  <si>
    <t>Vendor selection, commercial controls and contracts</t>
  </si>
  <si>
    <t>Procurement lead times and contractual scope</t>
  </si>
  <si>
    <t>Vendor onboarding and contract changes</t>
  </si>
  <si>
    <t>ST-16</t>
  </si>
  <si>
    <t>External Validation Vendor Lead</t>
  </si>
  <si>
    <t>External Vendor</t>
  </si>
  <si>
    <t>Independent validation and specialist deliverables</t>
  </si>
  <si>
    <t>Clear acceptance criteria and review cycles</t>
  </si>
  <si>
    <t>Validation plan and vendor deliverable acceptance</t>
  </si>
  <si>
    <t>ST-17</t>
  </si>
  <si>
    <t>Change &amp; Training Lead</t>
  </si>
  <si>
    <t>Business Change</t>
  </si>
  <si>
    <t>Training, adoption and communication material</t>
  </si>
  <si>
    <t>User readiness and training completion</t>
  </si>
  <si>
    <t>Training approval and business readiness</t>
  </si>
  <si>
    <t>ST-18</t>
  </si>
  <si>
    <t>Data Governance / Privacy Lead</t>
  </si>
  <si>
    <t>Data Governance</t>
  </si>
  <si>
    <t>Data use, retention and migration governance</t>
  </si>
  <si>
    <t>Data minimization, reconciliation and retention</t>
  </si>
  <si>
    <t>Migration design and data-governance sign-off</t>
  </si>
  <si>
    <t>PROJECT ATLAS  |  Stakeholder Engagement Plan</t>
  </si>
  <si>
    <t>Engagement actions correspond to IDs in the Stakeholder Register; cadence is the proposed project approach.</t>
  </si>
  <si>
    <t>Engagement approach / information</t>
  </si>
  <si>
    <t>Channel / evidence</t>
  </si>
  <si>
    <t>Cadence</t>
  </si>
  <si>
    <t>Escalation trigger</t>
  </si>
  <si>
    <t>Immediate action</t>
  </si>
  <si>
    <t>Decision-focused executive brief</t>
  </si>
  <si>
    <t>Steering pack + one-page exception summary</t>
  </si>
  <si>
    <t>Monthly; urgent exceptions same day</t>
  </si>
  <si>
    <t>Cost/schedule forecast outside tolerance; blocked gate</t>
  </si>
  <si>
    <t>Confirm benefit owner and funding guardrails</t>
  </si>
  <si>
    <t>Joint outcomes and acceptance reviews</t>
  </si>
  <si>
    <t>Business demos + requirements/UAT decisions</t>
  </si>
  <si>
    <t>Fortnightly; at acceptance gates</t>
  </si>
  <si>
    <t>Unresolved high-impact process or acceptance issue</t>
  </si>
  <si>
    <t>Agree measurable UAT criteria and benefits handover</t>
  </si>
  <si>
    <t>Technical and resource decision forum</t>
  </si>
  <si>
    <t>Architecture/dependency review</t>
  </si>
  <si>
    <t>Weekly during design/build</t>
  </si>
  <si>
    <t>Critical specialist shortfall or design conflict</t>
  </si>
  <si>
    <t>Confirm technical capacity and architecture approval path</t>
  </si>
  <si>
    <t>Early validation co-design</t>
  </si>
  <si>
    <t>Requirements traceability + validation evidence review</t>
  </si>
  <si>
    <t>Weekly; each formal gate</t>
  </si>
  <si>
    <t>Validation gap or missing mandatory evidence</t>
  </si>
  <si>
    <t>Agree validation evidence checklist before design freeze</t>
  </si>
  <si>
    <t>Integrated delivery and control</t>
  </si>
  <si>
    <t>Workstream plans, RAID, EVM and action log</t>
  </si>
  <si>
    <t>Daily/weekly; monthly steering</t>
  </si>
  <si>
    <t>Cross-workstream blockage or forecast tolerance breach</t>
  </si>
  <si>
    <t>Keep baseline and decision log current</t>
  </si>
  <si>
    <t>Architecture working sessions</t>
  </si>
  <si>
    <t>Design decisions and integration diagrams</t>
  </si>
  <si>
    <t>Weekly through design/build</t>
  </si>
  <si>
    <t>Nonfunctional requirement or design exception</t>
  </si>
  <si>
    <t>Baseline solution architecture and design assumptions</t>
  </si>
  <si>
    <t>Build planning and blocker removal</t>
  </si>
  <si>
    <t>Work-package board + defect review</t>
  </si>
  <si>
    <t>Twice weekly during build</t>
  </si>
  <si>
    <t>Critical-path slippage or unresolved blocker</t>
  </si>
  <si>
    <t>Confirm build estimates and handoffs to SIT</t>
  </si>
  <si>
    <t>Interface and migration dependency reviews</t>
  </si>
  <si>
    <t>Interface tracker + reconciliation samples</t>
  </si>
  <si>
    <t>Weekly; more often at SIT/cutover</t>
  </si>
  <si>
    <t>Missing test endpoint, extract or poor migration quality</t>
  </si>
  <si>
    <t>Secure interface commitments and migration rehearsal</t>
  </si>
  <si>
    <t>Test/validation controls and reporting</t>
  </si>
  <si>
    <t>RTM, test summary and defects</t>
  </si>
  <si>
    <t>Weekly; daily near quality gates</t>
  </si>
  <si>
    <t>Severity-1 defect or mandatory test evidence missing</t>
  </si>
  <si>
    <t>Agree exit criteria and evidence ownership</t>
  </si>
  <si>
    <t>Time-boxed business walkthroughs</t>
  </si>
  <si>
    <t>Scenario reviews + UAT progress summary</t>
  </si>
  <si>
    <t>Fortnightly; daily during UAT</t>
  </si>
  <si>
    <t>Business users unavailable or acceptance blocked</t>
  </si>
  <si>
    <t>Book UAT participants and confirm representative scenarios</t>
  </si>
  <si>
    <t>Targeted security consultations</t>
  </si>
  <si>
    <t>Threat/risk assessment + finding register</t>
  </si>
  <si>
    <t>At design and pre-go-live; exceptions as needed</t>
  </si>
  <si>
    <t>Critical security finding or late control change</t>
  </si>
  <si>
    <t>Confirm security assessment window and sign-off criteria</t>
  </si>
  <si>
    <t>Operational readiness co-planning</t>
  </si>
  <si>
    <t>Runbook, monitoring and handover checklist</t>
  </si>
  <si>
    <t>Fortnightly from build; daily at cutover</t>
  </si>
  <si>
    <t>Missing runbook or unresolved support ownership</t>
  </si>
  <si>
    <t>Agree support model, transition criteria and hypercare rota</t>
  </si>
  <si>
    <t>Region-specific change briefings</t>
  </si>
  <si>
    <t>Regional impact and FAQ updates</t>
  </si>
  <si>
    <t>Monthly; at training and rollout</t>
  </si>
  <si>
    <t>Regional process mismatch or adoption blocker</t>
  </si>
  <si>
    <t>Nominate regional SMEs and training contacts</t>
  </si>
  <si>
    <t>Budget and forecast review</t>
  </si>
  <si>
    <t>Cost baseline, actuals, EAC and invoice summary</t>
  </si>
  <si>
    <t>Monthly; on material change</t>
  </si>
  <si>
    <t>Forecast overrun or unapproved commitment</t>
  </si>
  <si>
    <t>Confirm actual-cost feed and reserve-control process</t>
  </si>
  <si>
    <t>Early procurement engagement</t>
  </si>
  <si>
    <t>SOW, lead-time and purchase order tracker</t>
  </si>
  <si>
    <t>At sourcing milestones; fortnightly if active</t>
  </si>
  <si>
    <t>Vendor delay or change to contracted deliverables</t>
  </si>
  <si>
    <t>Lock vendor lead times and acceptance criteria</t>
  </si>
  <si>
    <t>Deliverable-based vendor coordination</t>
  </si>
  <si>
    <t>Milestones, evidence and issue tracker</t>
  </si>
  <si>
    <t>Weekly during validation</t>
  </si>
  <si>
    <t>Late evidence or failed deliverable acceptance</t>
  </si>
  <si>
    <t>Agree validation deliverables and review turnaround</t>
  </si>
  <si>
    <t>Adoption planning with business leads</t>
  </si>
  <si>
    <t>Training plan + readiness survey</t>
  </si>
  <si>
    <t>Monthly; weekly before go-live</t>
  </si>
  <si>
    <t>Training coverage or adoption gap</t>
  </si>
  <si>
    <t>Define audiences, materials and readiness indicators</t>
  </si>
  <si>
    <t>Early data-control assessment</t>
  </si>
  <si>
    <t>Data inventory, mapping and retention decisions</t>
  </si>
  <si>
    <t>At migration design and cutover gates</t>
  </si>
  <si>
    <t>Privacy concern or reconciliation failure</t>
  </si>
  <si>
    <t>Confirm sensitive data controls and retention rules</t>
  </si>
  <si>
    <t>PROJECT ATLAS  |  Assessment Guide</t>
  </si>
  <si>
    <t>Qualitative ratings are simulated; decision rights are defined separately in Governance-Model.md.</t>
  </si>
  <si>
    <t>DIMENSION</t>
  </si>
  <si>
    <t>VALUE</t>
  </si>
  <si>
    <t>GUIDANCE</t>
  </si>
  <si>
    <t>Power</t>
  </si>
  <si>
    <t>1</t>
  </si>
  <si>
    <t>Minimal ability to alter outcomes or release decisions</t>
  </si>
  <si>
    <t>3</t>
  </si>
  <si>
    <t>Can materially influence a workstream or delivery decision</t>
  </si>
  <si>
    <t>5</t>
  </si>
  <si>
    <t>Formal authority over funding, acceptance, compliance, or gate outcome</t>
  </si>
  <si>
    <t>Interest</t>
  </si>
  <si>
    <t>Limited involvement or impact</t>
  </si>
  <si>
    <t>Periodic engagement or discrete gate concern</t>
  </si>
  <si>
    <t>Direct, ongoing impact on project delivery or outcomes</t>
  </si>
  <si>
    <t>Engagement</t>
  </si>
  <si>
    <t>Unaware</t>
  </si>
  <si>
    <t>Not yet aware of the project or its implications</t>
  </si>
  <si>
    <t>Resistant</t>
  </si>
  <si>
    <t>Opposed to the change or proposed approach</t>
  </si>
  <si>
    <t>Aware, not yet actively supporting</t>
  </si>
  <si>
    <t>Participates constructively</t>
  </si>
  <si>
    <t>Actively champions or facilitates outcomes</t>
  </si>
  <si>
    <t>POWER–INTEREST SEGMENT</t>
  </si>
  <si>
    <t>RULE</t>
  </si>
  <si>
    <t>INTENDED APPROACH</t>
  </si>
  <si>
    <t>Power ≥4, interest ≥4</t>
  </si>
  <si>
    <t>Frequent two-way involvement and early decisions</t>
  </si>
  <si>
    <t>Power ≥4, interest ≤3</t>
  </si>
  <si>
    <t>Targeted reviews; consult at relevant decisions</t>
  </si>
  <si>
    <t>Power ≤3, interest ≥4</t>
  </si>
  <si>
    <t>Regular updates and opportunity for feedback</t>
  </si>
  <si>
    <t>Power ≤3, interest ≤3</t>
  </si>
  <si>
    <t>Proportionate, event-driven communication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</si>
</sst>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7"/>
      <color rgb="FFFFFFFF"/>
      <name val="Carlito"/>
    </font>
    <font>
      <sz val="10"/>
      <color rgb="FF54657B"/>
      <name val="Carlito"/>
    </font>
    <font>
      <i/>
      <sz val="10"/>
      <color rgb="FF8B4931"/>
      <name val="Carlito"/>
    </font>
    <font>
      <b/>
      <sz val="10"/>
      <color rgb="FFFFFFFF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32A44"/>
      </patternFill>
    </fill>
    <fill>
      <patternFill patternType="solid">
        <fgColor rgb="FFECF3F8"/>
      </patternFill>
    </fill>
    <fill>
      <patternFill patternType="solid">
        <fgColor rgb="FF2457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4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5" fillId="4" borderId="0" xfId="0" applyFont="1" applyFill="1"/>
    <xf numFmtId="0" fontId="5" fillId="4" borderId="0" xfId="0" applyFont="1" applyFill="1" applyAlignment="1">
      <alignment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5" fillId="4" borderId="0" xfId="0" applyFont="1" applyFill="1"/>
    <xf numFmtId="0" fontId="0" fillId="0" borderId="0" xfId="0"/>
    <xf numFmtId="0" fontId="3" fillId="0" borderId="0" xfId="0" applyFont="1"/>
  </cellXfs>
  <cellStyles count="1">
    <cellStyle name="Normal" xfId="0" builtinId="0"/>
  </cellStyles>
  <dxfs count="2">
    <dxf>
      <fill>
        <patternFill patternType="solid">
          <bgColor rgb="FFFFF0D8"/>
        </patternFill>
      </fill>
    </dxf>
    <dxf>
      <fill>
        <patternFill patternType="solid">
          <bgColor rgb="FFD7EEE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tlasStakeholderRegister" displayName="AtlasStakeholderRegister" ref="A6:N24" totalsRowShown="0">
  <tableColumns count="14">
    <tableColumn id="1" xr3:uid="{00000000-0010-0000-0000-000001000000}" name="ID"/>
    <tableColumn id="2" xr3:uid="{00000000-0010-0000-0000-000002000000}" name="Stakeholder / Role"/>
    <tableColumn id="3" xr3:uid="{00000000-0010-0000-0000-000003000000}" name="Group"/>
    <tableColumn id="4" xr3:uid="{00000000-0010-0000-0000-000004000000}" name="Region"/>
    <tableColumn id="5" xr3:uid="{00000000-0010-0000-0000-000005000000}" name="Project interest / responsibility"/>
    <tableColumn id="6" xr3:uid="{00000000-0010-0000-0000-000006000000}" name="Power (1–5)"/>
    <tableColumn id="7" xr3:uid="{00000000-0010-0000-0000-000007000000}" name="Interest (1–5)"/>
    <tableColumn id="8" xr3:uid="{00000000-0010-0000-0000-000008000000}" name="Priority"/>
    <tableColumn id="9" xr3:uid="{00000000-0010-0000-0000-000009000000}" name="Current engagement"/>
    <tableColumn id="10" xr3:uid="{00000000-0010-0000-0000-00000A000000}" name="Target engagement"/>
    <tableColumn id="11" xr3:uid="{00000000-0010-0000-0000-00000B000000}" name="Engagement owner"/>
    <tableColumn id="12" xr3:uid="{00000000-0010-0000-0000-00000C000000}" name="Principal concern"/>
    <tableColumn id="13" xr3:uid="{00000000-0010-0000-0000-00000D000000}" name="Stage-gate / decision touchpoint"/>
    <tableColumn id="14" xr3:uid="{00000000-0010-0000-0000-00000E000000}" name="Engagement gap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tlasEngagementPlan" displayName="AtlasEngagementPlan" ref="A5:H23" totalsRowShown="0">
  <tableColumns count="8">
    <tableColumn id="1" xr3:uid="{00000000-0010-0000-0100-000001000000}" name="ID"/>
    <tableColumn id="2" xr3:uid="{00000000-0010-0000-0100-000002000000}" name="Stakeholder / Role"/>
    <tableColumn id="3" xr3:uid="{00000000-0010-0000-0100-000003000000}" name="Priority"/>
    <tableColumn id="4" xr3:uid="{00000000-0010-0000-0100-000004000000}" name="Engagement approach / information"/>
    <tableColumn id="5" xr3:uid="{00000000-0010-0000-0100-000005000000}" name="Channel / evidence"/>
    <tableColumn id="6" xr3:uid="{00000000-0010-0000-0100-000006000000}" name="Cadence"/>
    <tableColumn id="7" xr3:uid="{00000000-0010-0000-0100-000007000000}" name="Escalation trigger"/>
    <tableColumn id="8" xr3:uid="{00000000-0010-0000-0100-000008000000}" name="Immediate 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workbookViewId="0">
      <selection sqref="A1:H2"/>
    </sheetView>
  </sheetViews>
  <sheetFormatPr defaultRowHeight="13.8"/>
  <cols>
    <col min="1" max="1" width="29" customWidth="1"/>
    <col min="2" max="2" width="17" customWidth="1"/>
    <col min="3" max="3" width="4" customWidth="1"/>
    <col min="4" max="4" width="28.5" bestFit="1" customWidth="1"/>
    <col min="5" max="5" width="15" customWidth="1"/>
    <col min="6" max="6" width="36" customWidth="1"/>
    <col min="7" max="8" width="14" customWidth="1"/>
  </cols>
  <sheetData>
    <row r="1" spans="1:8" ht="22.35" customHeight="1">
      <c r="A1" s="6" t="s">
        <v>0</v>
      </c>
      <c r="B1" s="6"/>
      <c r="C1" s="6"/>
      <c r="D1" s="6"/>
      <c r="E1" s="6"/>
      <c r="F1" s="6"/>
      <c r="G1" s="6"/>
      <c r="H1" s="6"/>
    </row>
    <row r="2" spans="1:8" ht="22.35" customHeight="1">
      <c r="A2" s="6"/>
      <c r="B2" s="6"/>
      <c r="C2" s="6"/>
      <c r="D2" s="6"/>
      <c r="E2" s="6"/>
      <c r="F2" s="6"/>
      <c r="G2" s="6"/>
      <c r="H2" s="6"/>
    </row>
    <row r="3" spans="1:8" ht="20.85" customHeight="1">
      <c r="A3" s="7" t="s">
        <v>1</v>
      </c>
      <c r="B3" s="7"/>
      <c r="C3" s="7"/>
      <c r="D3" s="7"/>
      <c r="E3" s="7"/>
      <c r="F3" s="7"/>
      <c r="G3" s="7"/>
      <c r="H3" s="7"/>
    </row>
    <row r="5" spans="1:8">
      <c r="A5" s="4" t="s">
        <v>2</v>
      </c>
      <c r="B5" s="4" t="s">
        <v>3</v>
      </c>
      <c r="D5" s="4" t="s">
        <v>4</v>
      </c>
      <c r="E5" s="4" t="s">
        <v>3</v>
      </c>
      <c r="F5" s="4" t="s">
        <v>5</v>
      </c>
    </row>
    <row r="6" spans="1:8">
      <c r="A6" t="s">
        <v>6</v>
      </c>
      <c r="B6">
        <f>COUNTA('Stakeholder Register'!A7:A24)</f>
        <v>18</v>
      </c>
      <c r="D6" t="s">
        <v>7</v>
      </c>
      <c r="E6">
        <f>COUNTIF('Stakeholder Register'!H7:H24,D6)</f>
        <v>9</v>
      </c>
      <c r="F6" t="s">
        <v>8</v>
      </c>
    </row>
    <row r="7" spans="1:8">
      <c r="A7" t="s">
        <v>7</v>
      </c>
      <c r="B7">
        <f>COUNTIF('Stakeholder Register'!H7:H24,"Manage closely")</f>
        <v>9</v>
      </c>
      <c r="D7" t="s">
        <v>9</v>
      </c>
      <c r="E7">
        <f>COUNTIF('Stakeholder Register'!H7:H24,D7)</f>
        <v>3</v>
      </c>
      <c r="F7" t="s">
        <v>8</v>
      </c>
    </row>
    <row r="8" spans="1:8">
      <c r="A8" t="s">
        <v>10</v>
      </c>
      <c r="B8">
        <f>COUNTIF('Stakeholder Register'!N7:N24,1)</f>
        <v>17</v>
      </c>
      <c r="D8" t="s">
        <v>11</v>
      </c>
      <c r="E8">
        <f>COUNTIF('Stakeholder Register'!H7:H24,D8)</f>
        <v>5</v>
      </c>
      <c r="F8" t="s">
        <v>8</v>
      </c>
    </row>
    <row r="9" spans="1:8">
      <c r="D9" t="s">
        <v>12</v>
      </c>
      <c r="E9">
        <f>COUNTIF('Stakeholder Register'!H7:H24,D9)</f>
        <v>1</v>
      </c>
      <c r="F9" t="s">
        <v>8</v>
      </c>
    </row>
    <row r="12" spans="1:8" ht="19.2" customHeight="1">
      <c r="A12" s="8" t="s">
        <v>13</v>
      </c>
      <c r="B12" s="8"/>
      <c r="C12" s="8"/>
      <c r="D12" s="8"/>
      <c r="E12" s="8"/>
      <c r="F12" s="8"/>
      <c r="G12" s="8"/>
      <c r="H12" s="8"/>
    </row>
    <row r="13" spans="1:8" ht="22.35" customHeight="1">
      <c r="A13" s="9" t="s">
        <v>14</v>
      </c>
      <c r="B13" s="9"/>
      <c r="C13" s="9"/>
      <c r="D13" s="9"/>
      <c r="E13" s="9"/>
      <c r="F13" s="9"/>
      <c r="G13" s="9"/>
      <c r="H13" s="9"/>
    </row>
    <row r="14" spans="1:8" ht="22.35" customHeight="1">
      <c r="A14" s="9" t="s">
        <v>15</v>
      </c>
      <c r="B14" s="9"/>
      <c r="C14" s="9"/>
      <c r="D14" s="9"/>
      <c r="E14" s="9"/>
      <c r="F14" s="9"/>
      <c r="G14" s="9"/>
      <c r="H14" s="9"/>
    </row>
    <row r="15" spans="1:8" ht="22.35" customHeight="1">
      <c r="A15" s="9" t="s">
        <v>16</v>
      </c>
      <c r="B15" s="9"/>
      <c r="C15" s="9"/>
      <c r="D15" s="9"/>
      <c r="E15" s="9"/>
      <c r="F15" s="9"/>
      <c r="G15" s="9"/>
      <c r="H15" s="9"/>
    </row>
    <row r="16" spans="1:8" ht="22.35" customHeight="1">
      <c r="A16" s="9" t="s">
        <v>17</v>
      </c>
      <c r="B16" s="9"/>
      <c r="C16" s="9"/>
      <c r="D16" s="9"/>
      <c r="E16" s="9"/>
      <c r="F16" s="9"/>
      <c r="G16" s="9"/>
      <c r="H16" s="9"/>
    </row>
    <row r="17" spans="1:8" ht="22.35" customHeight="1">
      <c r="A17" s="9" t="s">
        <v>18</v>
      </c>
      <c r="B17" s="9"/>
      <c r="C17" s="9"/>
      <c r="D17" s="9"/>
      <c r="E17" s="9"/>
      <c r="F17" s="9"/>
      <c r="G17" s="9"/>
      <c r="H17" s="9"/>
    </row>
  </sheetData>
  <mergeCells count="8">
    <mergeCell ref="A15:H15"/>
    <mergeCell ref="A16:H16"/>
    <mergeCell ref="A17:H17"/>
    <mergeCell ref="A1:H2"/>
    <mergeCell ref="A3:H3"/>
    <mergeCell ref="A12:H12"/>
    <mergeCell ref="A13:H13"/>
    <mergeCell ref="A14:H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4"/>
  <sheetViews>
    <sheetView topLeftCell="A13" workbookViewId="0">
      <selection activeCell="A26" sqref="A26"/>
    </sheetView>
  </sheetViews>
  <sheetFormatPr defaultRowHeight="13.8"/>
  <cols>
    <col min="1" max="1" width="13" customWidth="1"/>
    <col min="2" max="2" width="33" customWidth="1"/>
    <col min="3" max="4" width="19" customWidth="1"/>
    <col min="5" max="5" width="43" customWidth="1"/>
    <col min="6" max="7" width="13" customWidth="1"/>
    <col min="8" max="10" width="19" customWidth="1"/>
    <col min="11" max="11" width="26" customWidth="1"/>
    <col min="12" max="12" width="46" customWidth="1"/>
    <col min="13" max="13" width="45" customWidth="1"/>
    <col min="14" max="14" width="16" customWidth="1"/>
  </cols>
  <sheetData>
    <row r="1" spans="1:14" ht="22.35" customHeight="1">
      <c r="A1" s="6" t="s">
        <v>19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22.3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ht="20.85" customHeight="1">
      <c r="A3" s="7" t="s">
        <v>20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4" ht="19.95" customHeight="1">
      <c r="A4" s="10" t="s">
        <v>21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6" spans="1:14" ht="31.95" customHeight="1">
      <c r="A6" s="1" t="s">
        <v>22</v>
      </c>
      <c r="B6" s="1" t="s">
        <v>23</v>
      </c>
      <c r="C6" s="1" t="s">
        <v>24</v>
      </c>
      <c r="D6" s="1" t="s">
        <v>25</v>
      </c>
      <c r="E6" s="1" t="s">
        <v>26</v>
      </c>
      <c r="F6" s="1" t="s">
        <v>27</v>
      </c>
      <c r="G6" s="1" t="s">
        <v>28</v>
      </c>
      <c r="H6" s="1" t="s">
        <v>29</v>
      </c>
      <c r="I6" s="1" t="s">
        <v>30</v>
      </c>
      <c r="J6" s="1" t="s">
        <v>31</v>
      </c>
      <c r="K6" s="1" t="s">
        <v>32</v>
      </c>
      <c r="L6" s="1" t="s">
        <v>33</v>
      </c>
      <c r="M6" s="1" t="s">
        <v>34</v>
      </c>
      <c r="N6" s="1" t="s">
        <v>35</v>
      </c>
    </row>
    <row r="7" spans="1:14" ht="38.4" customHeight="1">
      <c r="A7" s="3" t="s">
        <v>36</v>
      </c>
      <c r="B7" s="3" t="s">
        <v>37</v>
      </c>
      <c r="C7" s="3" t="s">
        <v>38</v>
      </c>
      <c r="D7" s="3" t="s">
        <v>39</v>
      </c>
      <c r="E7" s="3" t="s">
        <v>40</v>
      </c>
      <c r="F7" s="3">
        <v>5</v>
      </c>
      <c r="G7" s="3">
        <v>5</v>
      </c>
      <c r="H7" s="3" t="str">
        <f t="shared" ref="H7:H24" si="0">IF(AND(F7&gt;=4,G7&gt;=4),"Manage closely",IF(F7&gt;=4,"Keep satisfied",IF(G7&gt;=4,"Keep informed","Monitor")))</f>
        <v>Manage closely</v>
      </c>
      <c r="I7" s="3" t="s">
        <v>41</v>
      </c>
      <c r="J7" s="3" t="s">
        <v>42</v>
      </c>
      <c r="K7" s="3" t="s">
        <v>43</v>
      </c>
      <c r="L7" s="3" t="s">
        <v>44</v>
      </c>
      <c r="M7" s="3" t="s">
        <v>45</v>
      </c>
      <c r="N7" s="3">
        <f t="shared" ref="N7:N24" si="1">IF(I7=J7,0,1)</f>
        <v>1</v>
      </c>
    </row>
    <row r="8" spans="1:14" ht="38.4" customHeight="1">
      <c r="A8" s="3" t="s">
        <v>46</v>
      </c>
      <c r="B8" s="3" t="s">
        <v>47</v>
      </c>
      <c r="C8" s="3" t="s">
        <v>48</v>
      </c>
      <c r="D8" s="3" t="s">
        <v>49</v>
      </c>
      <c r="E8" s="3" t="s">
        <v>50</v>
      </c>
      <c r="F8" s="3">
        <v>5</v>
      </c>
      <c r="G8" s="3">
        <v>5</v>
      </c>
      <c r="H8" s="3" t="str">
        <f t="shared" si="0"/>
        <v>Manage closely</v>
      </c>
      <c r="I8" s="3" t="s">
        <v>41</v>
      </c>
      <c r="J8" s="3" t="s">
        <v>42</v>
      </c>
      <c r="K8" s="3" t="s">
        <v>43</v>
      </c>
      <c r="L8" s="3" t="s">
        <v>51</v>
      </c>
      <c r="M8" s="3" t="s">
        <v>52</v>
      </c>
      <c r="N8" s="3">
        <f t="shared" si="1"/>
        <v>1</v>
      </c>
    </row>
    <row r="9" spans="1:14" ht="38.4" customHeight="1">
      <c r="A9" s="3" t="s">
        <v>53</v>
      </c>
      <c r="B9" s="3" t="s">
        <v>54</v>
      </c>
      <c r="C9" s="3" t="s">
        <v>55</v>
      </c>
      <c r="D9" s="3" t="s">
        <v>39</v>
      </c>
      <c r="E9" s="3" t="s">
        <v>56</v>
      </c>
      <c r="F9" s="3">
        <v>5</v>
      </c>
      <c r="G9" s="3">
        <v>4</v>
      </c>
      <c r="H9" s="3" t="str">
        <f t="shared" si="0"/>
        <v>Manage closely</v>
      </c>
      <c r="I9" s="3" t="s">
        <v>41</v>
      </c>
      <c r="J9" s="3" t="s">
        <v>42</v>
      </c>
      <c r="K9" s="3" t="s">
        <v>43</v>
      </c>
      <c r="L9" s="3" t="s">
        <v>57</v>
      </c>
      <c r="M9" s="3" t="s">
        <v>58</v>
      </c>
      <c r="N9" s="3">
        <f t="shared" si="1"/>
        <v>1</v>
      </c>
    </row>
    <row r="10" spans="1:14" ht="38.4" customHeight="1">
      <c r="A10" s="3" t="s">
        <v>59</v>
      </c>
      <c r="B10" s="3" t="s">
        <v>60</v>
      </c>
      <c r="C10" s="3" t="s">
        <v>61</v>
      </c>
      <c r="D10" s="3" t="s">
        <v>39</v>
      </c>
      <c r="E10" s="3" t="s">
        <v>62</v>
      </c>
      <c r="F10" s="3">
        <v>5</v>
      </c>
      <c r="G10" s="3">
        <v>5</v>
      </c>
      <c r="H10" s="3" t="str">
        <f t="shared" si="0"/>
        <v>Manage closely</v>
      </c>
      <c r="I10" s="3" t="s">
        <v>63</v>
      </c>
      <c r="J10" s="3" t="s">
        <v>42</v>
      </c>
      <c r="K10" s="3" t="s">
        <v>64</v>
      </c>
      <c r="L10" s="3" t="s">
        <v>65</v>
      </c>
      <c r="M10" s="3" t="s">
        <v>66</v>
      </c>
      <c r="N10" s="3">
        <f t="shared" si="1"/>
        <v>1</v>
      </c>
    </row>
    <row r="11" spans="1:14" ht="38.4" customHeight="1">
      <c r="A11" s="3" t="s">
        <v>67</v>
      </c>
      <c r="B11" s="3" t="s">
        <v>43</v>
      </c>
      <c r="C11" s="3" t="s">
        <v>68</v>
      </c>
      <c r="D11" s="3" t="s">
        <v>69</v>
      </c>
      <c r="E11" s="3" t="s">
        <v>70</v>
      </c>
      <c r="F11" s="3">
        <v>4</v>
      </c>
      <c r="G11" s="3">
        <v>5</v>
      </c>
      <c r="H11" s="3" t="str">
        <f t="shared" si="0"/>
        <v>Manage closely</v>
      </c>
      <c r="I11" s="3" t="s">
        <v>42</v>
      </c>
      <c r="J11" s="3" t="s">
        <v>42</v>
      </c>
      <c r="K11" s="3" t="s">
        <v>37</v>
      </c>
      <c r="L11" s="3" t="s">
        <v>71</v>
      </c>
      <c r="M11" s="3" t="s">
        <v>72</v>
      </c>
      <c r="N11" s="3">
        <f t="shared" si="1"/>
        <v>0</v>
      </c>
    </row>
    <row r="12" spans="1:14" ht="38.4" customHeight="1">
      <c r="A12" s="3" t="s">
        <v>73</v>
      </c>
      <c r="B12" s="3" t="s">
        <v>74</v>
      </c>
      <c r="C12" s="3" t="s">
        <v>55</v>
      </c>
      <c r="D12" s="3" t="s">
        <v>75</v>
      </c>
      <c r="E12" s="3" t="s">
        <v>76</v>
      </c>
      <c r="F12" s="3">
        <v>4</v>
      </c>
      <c r="G12" s="3">
        <v>5</v>
      </c>
      <c r="H12" s="3" t="str">
        <f t="shared" si="0"/>
        <v>Manage closely</v>
      </c>
      <c r="I12" s="3" t="s">
        <v>41</v>
      </c>
      <c r="J12" s="3" t="s">
        <v>42</v>
      </c>
      <c r="K12" s="3" t="s">
        <v>43</v>
      </c>
      <c r="L12" s="3" t="s">
        <v>77</v>
      </c>
      <c r="M12" s="3" t="s">
        <v>78</v>
      </c>
      <c r="N12" s="3">
        <f t="shared" si="1"/>
        <v>1</v>
      </c>
    </row>
    <row r="13" spans="1:14" ht="38.4" customHeight="1">
      <c r="A13" s="3" t="s">
        <v>79</v>
      </c>
      <c r="B13" s="3" t="s">
        <v>80</v>
      </c>
      <c r="C13" s="3" t="s">
        <v>81</v>
      </c>
      <c r="D13" s="3" t="s">
        <v>75</v>
      </c>
      <c r="E13" s="3" t="s">
        <v>82</v>
      </c>
      <c r="F13" s="3">
        <v>3</v>
      </c>
      <c r="G13" s="3">
        <v>5</v>
      </c>
      <c r="H13" s="3" t="str">
        <f t="shared" si="0"/>
        <v>Keep informed</v>
      </c>
      <c r="I13" s="3" t="s">
        <v>41</v>
      </c>
      <c r="J13" s="3" t="s">
        <v>42</v>
      </c>
      <c r="K13" s="3" t="s">
        <v>43</v>
      </c>
      <c r="L13" s="3" t="s">
        <v>83</v>
      </c>
      <c r="M13" s="3" t="s">
        <v>84</v>
      </c>
      <c r="N13" s="3">
        <f t="shared" si="1"/>
        <v>1</v>
      </c>
    </row>
    <row r="14" spans="1:14" ht="38.4" customHeight="1">
      <c r="A14" s="3" t="s">
        <v>85</v>
      </c>
      <c r="B14" s="3" t="s">
        <v>86</v>
      </c>
      <c r="C14" s="3" t="s">
        <v>81</v>
      </c>
      <c r="D14" s="3" t="s">
        <v>75</v>
      </c>
      <c r="E14" s="3" t="s">
        <v>87</v>
      </c>
      <c r="F14" s="3">
        <v>4</v>
      </c>
      <c r="G14" s="3">
        <v>5</v>
      </c>
      <c r="H14" s="3" t="str">
        <f t="shared" si="0"/>
        <v>Manage closely</v>
      </c>
      <c r="I14" s="3" t="s">
        <v>41</v>
      </c>
      <c r="J14" s="3" t="s">
        <v>42</v>
      </c>
      <c r="K14" s="3" t="s">
        <v>43</v>
      </c>
      <c r="L14" s="3" t="s">
        <v>88</v>
      </c>
      <c r="M14" s="3" t="s">
        <v>89</v>
      </c>
      <c r="N14" s="3">
        <f t="shared" si="1"/>
        <v>1</v>
      </c>
    </row>
    <row r="15" spans="1:14" ht="38.4" customHeight="1">
      <c r="A15" s="3" t="s">
        <v>90</v>
      </c>
      <c r="B15" s="3" t="s">
        <v>64</v>
      </c>
      <c r="C15" s="3" t="s">
        <v>91</v>
      </c>
      <c r="D15" s="3" t="s">
        <v>75</v>
      </c>
      <c r="E15" s="3" t="s">
        <v>92</v>
      </c>
      <c r="F15" s="3">
        <v>4</v>
      </c>
      <c r="G15" s="3">
        <v>5</v>
      </c>
      <c r="H15" s="3" t="str">
        <f t="shared" si="0"/>
        <v>Manage closely</v>
      </c>
      <c r="I15" s="3" t="s">
        <v>41</v>
      </c>
      <c r="J15" s="3" t="s">
        <v>42</v>
      </c>
      <c r="K15" s="3" t="s">
        <v>43</v>
      </c>
      <c r="L15" s="3" t="s">
        <v>93</v>
      </c>
      <c r="M15" s="3" t="s">
        <v>94</v>
      </c>
      <c r="N15" s="3">
        <f t="shared" si="1"/>
        <v>1</v>
      </c>
    </row>
    <row r="16" spans="1:14" ht="38.4" customHeight="1">
      <c r="A16" s="3" t="s">
        <v>95</v>
      </c>
      <c r="B16" s="3" t="s">
        <v>96</v>
      </c>
      <c r="C16" s="3" t="s">
        <v>48</v>
      </c>
      <c r="D16" s="3" t="s">
        <v>97</v>
      </c>
      <c r="E16" s="3" t="s">
        <v>98</v>
      </c>
      <c r="F16" s="3">
        <v>3</v>
      </c>
      <c r="G16" s="3">
        <v>5</v>
      </c>
      <c r="H16" s="3" t="str">
        <f t="shared" si="0"/>
        <v>Keep informed</v>
      </c>
      <c r="I16" s="3" t="s">
        <v>63</v>
      </c>
      <c r="J16" s="3" t="s">
        <v>41</v>
      </c>
      <c r="K16" s="3" t="s">
        <v>47</v>
      </c>
      <c r="L16" s="3" t="s">
        <v>99</v>
      </c>
      <c r="M16" s="3" t="s">
        <v>100</v>
      </c>
      <c r="N16" s="3">
        <f t="shared" si="1"/>
        <v>1</v>
      </c>
    </row>
    <row r="17" spans="1:14" ht="38.4" customHeight="1">
      <c r="A17" s="3" t="s">
        <v>101</v>
      </c>
      <c r="B17" s="3" t="s">
        <v>102</v>
      </c>
      <c r="C17" s="3" t="s">
        <v>103</v>
      </c>
      <c r="D17" s="3" t="s">
        <v>39</v>
      </c>
      <c r="E17" s="3" t="s">
        <v>104</v>
      </c>
      <c r="F17" s="3">
        <v>5</v>
      </c>
      <c r="G17" s="3">
        <v>3</v>
      </c>
      <c r="H17" s="3" t="str">
        <f t="shared" si="0"/>
        <v>Keep satisfied</v>
      </c>
      <c r="I17" s="3" t="s">
        <v>63</v>
      </c>
      <c r="J17" s="3" t="s">
        <v>41</v>
      </c>
      <c r="K17" s="3" t="s">
        <v>54</v>
      </c>
      <c r="L17" s="3" t="s">
        <v>105</v>
      </c>
      <c r="M17" s="3" t="s">
        <v>106</v>
      </c>
      <c r="N17" s="3">
        <f t="shared" si="1"/>
        <v>1</v>
      </c>
    </row>
    <row r="18" spans="1:14" ht="38.4" customHeight="1">
      <c r="A18" s="3" t="s">
        <v>107</v>
      </c>
      <c r="B18" s="3" t="s">
        <v>108</v>
      </c>
      <c r="C18" s="3" t="s">
        <v>109</v>
      </c>
      <c r="D18" s="3" t="s">
        <v>110</v>
      </c>
      <c r="E18" s="3" t="s">
        <v>111</v>
      </c>
      <c r="F18" s="3">
        <v>4</v>
      </c>
      <c r="G18" s="3">
        <v>4</v>
      </c>
      <c r="H18" s="3" t="str">
        <f t="shared" si="0"/>
        <v>Manage closely</v>
      </c>
      <c r="I18" s="3" t="s">
        <v>63</v>
      </c>
      <c r="J18" s="3" t="s">
        <v>41</v>
      </c>
      <c r="K18" s="3" t="s">
        <v>54</v>
      </c>
      <c r="L18" s="3" t="s">
        <v>112</v>
      </c>
      <c r="M18" s="3" t="s">
        <v>113</v>
      </c>
      <c r="N18" s="3">
        <f t="shared" si="1"/>
        <v>1</v>
      </c>
    </row>
    <row r="19" spans="1:14" ht="38.4" customHeight="1">
      <c r="A19" s="3" t="s">
        <v>114</v>
      </c>
      <c r="B19" s="3" t="s">
        <v>115</v>
      </c>
      <c r="C19" s="3" t="s">
        <v>48</v>
      </c>
      <c r="D19" s="3" t="s">
        <v>116</v>
      </c>
      <c r="E19" s="3" t="s">
        <v>117</v>
      </c>
      <c r="F19" s="3">
        <v>3</v>
      </c>
      <c r="G19" s="3">
        <v>4</v>
      </c>
      <c r="H19" s="3" t="str">
        <f t="shared" si="0"/>
        <v>Keep informed</v>
      </c>
      <c r="I19" s="3" t="s">
        <v>63</v>
      </c>
      <c r="J19" s="3" t="s">
        <v>41</v>
      </c>
      <c r="K19" s="3" t="s">
        <v>47</v>
      </c>
      <c r="L19" s="3" t="s">
        <v>118</v>
      </c>
      <c r="M19" s="3" t="s">
        <v>119</v>
      </c>
      <c r="N19" s="3">
        <f t="shared" si="1"/>
        <v>1</v>
      </c>
    </row>
    <row r="20" spans="1:14" ht="38.4" customHeight="1">
      <c r="A20" s="3" t="s">
        <v>120</v>
      </c>
      <c r="B20" s="3" t="s">
        <v>121</v>
      </c>
      <c r="C20" s="3" t="s">
        <v>122</v>
      </c>
      <c r="D20" s="3" t="s">
        <v>75</v>
      </c>
      <c r="E20" s="3" t="s">
        <v>123</v>
      </c>
      <c r="F20" s="3">
        <v>4</v>
      </c>
      <c r="G20" s="3">
        <v>3</v>
      </c>
      <c r="H20" s="3" t="str">
        <f t="shared" si="0"/>
        <v>Keep satisfied</v>
      </c>
      <c r="I20" s="3" t="s">
        <v>63</v>
      </c>
      <c r="J20" s="3" t="s">
        <v>41</v>
      </c>
      <c r="K20" s="3" t="s">
        <v>43</v>
      </c>
      <c r="L20" s="3" t="s">
        <v>124</v>
      </c>
      <c r="M20" s="3" t="s">
        <v>125</v>
      </c>
      <c r="N20" s="3">
        <f t="shared" si="1"/>
        <v>1</v>
      </c>
    </row>
    <row r="21" spans="1:14" ht="38.4" customHeight="1">
      <c r="A21" s="3" t="s">
        <v>126</v>
      </c>
      <c r="B21" s="3" t="s">
        <v>127</v>
      </c>
      <c r="C21" s="3" t="s">
        <v>128</v>
      </c>
      <c r="D21" s="3" t="s">
        <v>75</v>
      </c>
      <c r="E21" s="3" t="s">
        <v>129</v>
      </c>
      <c r="F21" s="3">
        <v>3</v>
      </c>
      <c r="G21" s="3">
        <v>3</v>
      </c>
      <c r="H21" s="3" t="str">
        <f t="shared" si="0"/>
        <v>Monitor</v>
      </c>
      <c r="I21" s="3" t="s">
        <v>63</v>
      </c>
      <c r="J21" s="3" t="s">
        <v>41</v>
      </c>
      <c r="K21" s="3" t="s">
        <v>43</v>
      </c>
      <c r="L21" s="3" t="s">
        <v>130</v>
      </c>
      <c r="M21" s="3" t="s">
        <v>131</v>
      </c>
      <c r="N21" s="3">
        <f t="shared" si="1"/>
        <v>1</v>
      </c>
    </row>
    <row r="22" spans="1:14" ht="38.4" customHeight="1">
      <c r="A22" s="3" t="s">
        <v>132</v>
      </c>
      <c r="B22" s="3" t="s">
        <v>133</v>
      </c>
      <c r="C22" s="3" t="s">
        <v>134</v>
      </c>
      <c r="D22" s="3" t="s">
        <v>39</v>
      </c>
      <c r="E22" s="3" t="s">
        <v>135</v>
      </c>
      <c r="F22" s="3">
        <v>2</v>
      </c>
      <c r="G22" s="3">
        <v>4</v>
      </c>
      <c r="H22" s="3" t="str">
        <f t="shared" si="0"/>
        <v>Keep informed</v>
      </c>
      <c r="I22" s="3" t="s">
        <v>63</v>
      </c>
      <c r="J22" s="3" t="s">
        <v>41</v>
      </c>
      <c r="K22" s="3" t="s">
        <v>64</v>
      </c>
      <c r="L22" s="3" t="s">
        <v>136</v>
      </c>
      <c r="M22" s="3" t="s">
        <v>137</v>
      </c>
      <c r="N22" s="3">
        <f t="shared" si="1"/>
        <v>1</v>
      </c>
    </row>
    <row r="23" spans="1:14" ht="38.4" customHeight="1">
      <c r="A23" s="3" t="s">
        <v>138</v>
      </c>
      <c r="B23" s="3" t="s">
        <v>139</v>
      </c>
      <c r="C23" s="3" t="s">
        <v>140</v>
      </c>
      <c r="D23" s="3" t="s">
        <v>75</v>
      </c>
      <c r="E23" s="3" t="s">
        <v>141</v>
      </c>
      <c r="F23" s="3">
        <v>2</v>
      </c>
      <c r="G23" s="3">
        <v>5</v>
      </c>
      <c r="H23" s="3" t="str">
        <f t="shared" si="0"/>
        <v>Keep informed</v>
      </c>
      <c r="I23" s="3" t="s">
        <v>41</v>
      </c>
      <c r="J23" s="3" t="s">
        <v>42</v>
      </c>
      <c r="K23" s="3" t="s">
        <v>47</v>
      </c>
      <c r="L23" s="3" t="s">
        <v>142</v>
      </c>
      <c r="M23" s="3" t="s">
        <v>143</v>
      </c>
      <c r="N23" s="3">
        <f t="shared" si="1"/>
        <v>1</v>
      </c>
    </row>
    <row r="24" spans="1:14" ht="38.4" customHeight="1">
      <c r="A24" s="3" t="s">
        <v>144</v>
      </c>
      <c r="B24" s="3" t="s">
        <v>145</v>
      </c>
      <c r="C24" s="3" t="s">
        <v>146</v>
      </c>
      <c r="D24" s="3" t="s">
        <v>39</v>
      </c>
      <c r="E24" s="3" t="s">
        <v>147</v>
      </c>
      <c r="F24" s="3">
        <v>5</v>
      </c>
      <c r="G24" s="3">
        <v>3</v>
      </c>
      <c r="H24" s="3" t="str">
        <f t="shared" si="0"/>
        <v>Keep satisfied</v>
      </c>
      <c r="I24" s="3" t="s">
        <v>63</v>
      </c>
      <c r="J24" s="3" t="s">
        <v>41</v>
      </c>
      <c r="K24" s="3" t="s">
        <v>54</v>
      </c>
      <c r="L24" s="3" t="s">
        <v>148</v>
      </c>
      <c r="M24" s="3" t="s">
        <v>149</v>
      </c>
      <c r="N24" s="3">
        <f t="shared" si="1"/>
        <v>1</v>
      </c>
    </row>
  </sheetData>
  <mergeCells count="3">
    <mergeCell ref="A1:N2"/>
    <mergeCell ref="A3:N3"/>
    <mergeCell ref="A4:N4"/>
  </mergeCells>
  <conditionalFormatting sqref="H7:H24">
    <cfRule type="expression" dxfId="1" priority="1">
      <formula>H7="Manage closely"</formula>
    </cfRule>
  </conditionalFormatting>
  <conditionalFormatting sqref="N7:N24">
    <cfRule type="cellIs" dxfId="0" priority="2" operator="greaterThan">
      <formula>0</formula>
    </cfRule>
  </conditionalFormatting>
  <dataValidations count="2">
    <dataValidation type="list" sqref="F7:G24" xr:uid="{00000000-0002-0000-0100-000000000000}">
      <formula1>"1,2,3,4,5"</formula1>
    </dataValidation>
    <dataValidation type="list" sqref="I7:J24" xr:uid="{00000000-0002-0000-0100-000001000000}">
      <formula1>"Unaware,Resistant,Neutral,Supportive,Leading"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3"/>
  <sheetViews>
    <sheetView topLeftCell="D19" workbookViewId="0">
      <selection sqref="A1:H2"/>
    </sheetView>
  </sheetViews>
  <sheetFormatPr defaultRowHeight="13.8"/>
  <cols>
    <col min="1" max="1" width="13" customWidth="1"/>
    <col min="2" max="2" width="33" customWidth="1"/>
    <col min="3" max="3" width="19" customWidth="1"/>
    <col min="4" max="5" width="39" customWidth="1"/>
    <col min="6" max="6" width="35" customWidth="1"/>
    <col min="7" max="7" width="45" customWidth="1"/>
    <col min="8" max="8" width="43" customWidth="1"/>
  </cols>
  <sheetData>
    <row r="1" spans="1:8" ht="22.35" customHeight="1">
      <c r="A1" s="6" t="s">
        <v>150</v>
      </c>
      <c r="B1" s="6"/>
      <c r="C1" s="6"/>
      <c r="D1" s="6"/>
      <c r="E1" s="6"/>
      <c r="F1" s="6"/>
      <c r="G1" s="6"/>
      <c r="H1" s="6"/>
    </row>
    <row r="2" spans="1:8" ht="22.35" customHeight="1">
      <c r="A2" s="6"/>
      <c r="B2" s="6"/>
      <c r="C2" s="6"/>
      <c r="D2" s="6"/>
      <c r="E2" s="6"/>
      <c r="F2" s="6"/>
      <c r="G2" s="6"/>
      <c r="H2" s="6"/>
    </row>
    <row r="3" spans="1:8" ht="20.85" customHeight="1">
      <c r="A3" s="7" t="s">
        <v>151</v>
      </c>
      <c r="B3" s="7"/>
      <c r="C3" s="7"/>
      <c r="D3" s="7"/>
      <c r="E3" s="7"/>
      <c r="F3" s="7"/>
      <c r="G3" s="7"/>
      <c r="H3" s="7"/>
    </row>
    <row r="5" spans="1:8" ht="30.45" customHeight="1">
      <c r="A5" s="5" t="s">
        <v>22</v>
      </c>
      <c r="B5" s="5" t="s">
        <v>23</v>
      </c>
      <c r="C5" s="5" t="s">
        <v>29</v>
      </c>
      <c r="D5" s="5" t="s">
        <v>152</v>
      </c>
      <c r="E5" s="5" t="s">
        <v>153</v>
      </c>
      <c r="F5" s="5" t="s">
        <v>154</v>
      </c>
      <c r="G5" s="5" t="s">
        <v>155</v>
      </c>
      <c r="H5" s="5" t="s">
        <v>156</v>
      </c>
    </row>
    <row r="6" spans="1:8" ht="50.4" customHeight="1">
      <c r="A6" s="3" t="s">
        <v>36</v>
      </c>
      <c r="B6" s="3" t="str">
        <f>'Stakeholder Register'!B7</f>
        <v>Executive Sponsor</v>
      </c>
      <c r="C6" s="3" t="str">
        <f>'Stakeholder Register'!H7</f>
        <v>Manage closely</v>
      </c>
      <c r="D6" s="3" t="s">
        <v>157</v>
      </c>
      <c r="E6" s="3" t="s">
        <v>158</v>
      </c>
      <c r="F6" s="3" t="s">
        <v>159</v>
      </c>
      <c r="G6" s="3" t="s">
        <v>160</v>
      </c>
      <c r="H6" s="3" t="s">
        <v>161</v>
      </c>
    </row>
    <row r="7" spans="1:8" ht="50.4" customHeight="1">
      <c r="A7" s="3" t="s">
        <v>46</v>
      </c>
      <c r="B7" s="3" t="str">
        <f>'Stakeholder Register'!B8</f>
        <v>Business Owner</v>
      </c>
      <c r="C7" s="3" t="str">
        <f>'Stakeholder Register'!H8</f>
        <v>Manage closely</v>
      </c>
      <c r="D7" s="3" t="s">
        <v>162</v>
      </c>
      <c r="E7" s="3" t="s">
        <v>163</v>
      </c>
      <c r="F7" s="3" t="s">
        <v>164</v>
      </c>
      <c r="G7" s="3" t="s">
        <v>165</v>
      </c>
      <c r="H7" s="3" t="s">
        <v>166</v>
      </c>
    </row>
    <row r="8" spans="1:8" ht="50.4" customHeight="1">
      <c r="A8" s="3" t="s">
        <v>53</v>
      </c>
      <c r="B8" s="3" t="str">
        <f>'Stakeholder Register'!B9</f>
        <v>Technology Director</v>
      </c>
      <c r="C8" s="3" t="str">
        <f>'Stakeholder Register'!H9</f>
        <v>Manage closely</v>
      </c>
      <c r="D8" s="3" t="s">
        <v>167</v>
      </c>
      <c r="E8" s="3" t="s">
        <v>168</v>
      </c>
      <c r="F8" s="3" t="s">
        <v>169</v>
      </c>
      <c r="G8" s="3" t="s">
        <v>170</v>
      </c>
      <c r="H8" s="3" t="s">
        <v>171</v>
      </c>
    </row>
    <row r="9" spans="1:8" ht="50.4" customHeight="1">
      <c r="A9" s="3" t="s">
        <v>59</v>
      </c>
      <c r="B9" s="3" t="str">
        <f>'Stakeholder Register'!B10</f>
        <v>Quality &amp; Compliance Lead</v>
      </c>
      <c r="C9" s="3" t="str">
        <f>'Stakeholder Register'!H10</f>
        <v>Manage closely</v>
      </c>
      <c r="D9" s="3" t="s">
        <v>172</v>
      </c>
      <c r="E9" s="3" t="s">
        <v>173</v>
      </c>
      <c r="F9" s="3" t="s">
        <v>174</v>
      </c>
      <c r="G9" s="3" t="s">
        <v>175</v>
      </c>
      <c r="H9" s="3" t="s">
        <v>176</v>
      </c>
    </row>
    <row r="10" spans="1:8" ht="50.4" customHeight="1">
      <c r="A10" s="3" t="s">
        <v>67</v>
      </c>
      <c r="B10" s="3" t="str">
        <f>'Stakeholder Register'!B11</f>
        <v>Project Manager</v>
      </c>
      <c r="C10" s="3" t="str">
        <f>'Stakeholder Register'!H11</f>
        <v>Manage closely</v>
      </c>
      <c r="D10" s="3" t="s">
        <v>177</v>
      </c>
      <c r="E10" s="3" t="s">
        <v>178</v>
      </c>
      <c r="F10" s="3" t="s">
        <v>179</v>
      </c>
      <c r="G10" s="3" t="s">
        <v>180</v>
      </c>
      <c r="H10" s="3" t="s">
        <v>181</v>
      </c>
    </row>
    <row r="11" spans="1:8" ht="50.4" customHeight="1">
      <c r="A11" s="3" t="s">
        <v>73</v>
      </c>
      <c r="B11" s="3" t="str">
        <f>'Stakeholder Register'!B12</f>
        <v>Solution Architect</v>
      </c>
      <c r="C11" s="3" t="str">
        <f>'Stakeholder Register'!H12</f>
        <v>Manage closely</v>
      </c>
      <c r="D11" s="3" t="s">
        <v>182</v>
      </c>
      <c r="E11" s="3" t="s">
        <v>183</v>
      </c>
      <c r="F11" s="3" t="s">
        <v>184</v>
      </c>
      <c r="G11" s="3" t="s">
        <v>185</v>
      </c>
      <c r="H11" s="3" t="s">
        <v>186</v>
      </c>
    </row>
    <row r="12" spans="1:8" ht="50.4" customHeight="1">
      <c r="A12" s="3" t="s">
        <v>79</v>
      </c>
      <c r="B12" s="3" t="str">
        <f>'Stakeholder Register'!B13</f>
        <v>Application Development Lead</v>
      </c>
      <c r="C12" s="3" t="str">
        <f>'Stakeholder Register'!H13</f>
        <v>Keep informed</v>
      </c>
      <c r="D12" s="3" t="s">
        <v>187</v>
      </c>
      <c r="E12" s="3" t="s">
        <v>188</v>
      </c>
      <c r="F12" s="3" t="s">
        <v>189</v>
      </c>
      <c r="G12" s="3" t="s">
        <v>190</v>
      </c>
      <c r="H12" s="3" t="s">
        <v>191</v>
      </c>
    </row>
    <row r="13" spans="1:8" ht="50.4" customHeight="1">
      <c r="A13" s="3" t="s">
        <v>85</v>
      </c>
      <c r="B13" s="3" t="str">
        <f>'Stakeholder Register'!B14</f>
        <v>Integration &amp; Migration Lead</v>
      </c>
      <c r="C13" s="3" t="str">
        <f>'Stakeholder Register'!H14</f>
        <v>Manage closely</v>
      </c>
      <c r="D13" s="3" t="s">
        <v>192</v>
      </c>
      <c r="E13" s="3" t="s">
        <v>193</v>
      </c>
      <c r="F13" s="3" t="s">
        <v>194</v>
      </c>
      <c r="G13" s="3" t="s">
        <v>195</v>
      </c>
      <c r="H13" s="3" t="s">
        <v>196</v>
      </c>
    </row>
    <row r="14" spans="1:8" ht="50.4" customHeight="1">
      <c r="A14" s="3" t="s">
        <v>90</v>
      </c>
      <c r="B14" s="3" t="str">
        <f>'Stakeholder Register'!B15</f>
        <v>Validation &amp; QA Lead</v>
      </c>
      <c r="C14" s="3" t="str">
        <f>'Stakeholder Register'!H15</f>
        <v>Manage closely</v>
      </c>
      <c r="D14" s="3" t="s">
        <v>197</v>
      </c>
      <c r="E14" s="3" t="s">
        <v>198</v>
      </c>
      <c r="F14" s="3" t="s">
        <v>199</v>
      </c>
      <c r="G14" s="3" t="s">
        <v>200</v>
      </c>
      <c r="H14" s="3" t="s">
        <v>201</v>
      </c>
    </row>
    <row r="15" spans="1:8" ht="50.4" customHeight="1">
      <c r="A15" s="3" t="s">
        <v>95</v>
      </c>
      <c r="B15" s="3" t="str">
        <f>'Stakeholder Register'!B16</f>
        <v>Business SME / UAT Lead</v>
      </c>
      <c r="C15" s="3" t="str">
        <f>'Stakeholder Register'!H16</f>
        <v>Keep informed</v>
      </c>
      <c r="D15" s="3" t="s">
        <v>202</v>
      </c>
      <c r="E15" s="3" t="s">
        <v>203</v>
      </c>
      <c r="F15" s="3" t="s">
        <v>204</v>
      </c>
      <c r="G15" s="3" t="s">
        <v>205</v>
      </c>
      <c r="H15" s="3" t="s">
        <v>206</v>
      </c>
    </row>
    <row r="16" spans="1:8" ht="50.4" customHeight="1">
      <c r="A16" s="3" t="s">
        <v>101</v>
      </c>
      <c r="B16" s="3" t="str">
        <f>'Stakeholder Register'!B17</f>
        <v>Information Security Lead</v>
      </c>
      <c r="C16" s="3" t="str">
        <f>'Stakeholder Register'!H17</f>
        <v>Keep satisfied</v>
      </c>
      <c r="D16" s="3" t="s">
        <v>207</v>
      </c>
      <c r="E16" s="3" t="s">
        <v>208</v>
      </c>
      <c r="F16" s="3" t="s">
        <v>209</v>
      </c>
      <c r="G16" s="3" t="s">
        <v>210</v>
      </c>
      <c r="H16" s="3" t="s">
        <v>211</v>
      </c>
    </row>
    <row r="17" spans="1:8" ht="50.4" customHeight="1">
      <c r="A17" s="3" t="s">
        <v>107</v>
      </c>
      <c r="B17" s="3" t="str">
        <f>'Stakeholder Register'!B18</f>
        <v>Operations &amp; Service Transition Lead</v>
      </c>
      <c r="C17" s="3" t="str">
        <f>'Stakeholder Register'!H18</f>
        <v>Manage closely</v>
      </c>
      <c r="D17" s="3" t="s">
        <v>212</v>
      </c>
      <c r="E17" s="3" t="s">
        <v>213</v>
      </c>
      <c r="F17" s="3" t="s">
        <v>214</v>
      </c>
      <c r="G17" s="3" t="s">
        <v>215</v>
      </c>
      <c r="H17" s="3" t="s">
        <v>216</v>
      </c>
    </row>
    <row r="18" spans="1:8" ht="50.4" customHeight="1">
      <c r="A18" s="3" t="s">
        <v>114</v>
      </c>
      <c r="B18" s="3" t="str">
        <f>'Stakeholder Register'!B19</f>
        <v>Regional Business Representatives</v>
      </c>
      <c r="C18" s="3" t="str">
        <f>'Stakeholder Register'!H19</f>
        <v>Keep informed</v>
      </c>
      <c r="D18" s="3" t="s">
        <v>217</v>
      </c>
      <c r="E18" s="3" t="s">
        <v>218</v>
      </c>
      <c r="F18" s="3" t="s">
        <v>219</v>
      </c>
      <c r="G18" s="3" t="s">
        <v>220</v>
      </c>
      <c r="H18" s="3" t="s">
        <v>221</v>
      </c>
    </row>
    <row r="19" spans="1:8" ht="50.4" customHeight="1">
      <c r="A19" s="3" t="s">
        <v>120</v>
      </c>
      <c r="B19" s="3" t="str">
        <f>'Stakeholder Register'!B20</f>
        <v>Finance Business Partner</v>
      </c>
      <c r="C19" s="3" t="str">
        <f>'Stakeholder Register'!H20</f>
        <v>Keep satisfied</v>
      </c>
      <c r="D19" s="3" t="s">
        <v>222</v>
      </c>
      <c r="E19" s="3" t="s">
        <v>223</v>
      </c>
      <c r="F19" s="3" t="s">
        <v>224</v>
      </c>
      <c r="G19" s="3" t="s">
        <v>225</v>
      </c>
      <c r="H19" s="3" t="s">
        <v>226</v>
      </c>
    </row>
    <row r="20" spans="1:8" ht="50.4" customHeight="1">
      <c r="A20" s="3" t="s">
        <v>126</v>
      </c>
      <c r="B20" s="3" t="str">
        <f>'Stakeholder Register'!B21</f>
        <v>Procurement / Vendor Lead</v>
      </c>
      <c r="C20" s="3" t="str">
        <f>'Stakeholder Register'!H21</f>
        <v>Monitor</v>
      </c>
      <c r="D20" s="3" t="s">
        <v>227</v>
      </c>
      <c r="E20" s="3" t="s">
        <v>228</v>
      </c>
      <c r="F20" s="3" t="s">
        <v>229</v>
      </c>
      <c r="G20" s="3" t="s">
        <v>230</v>
      </c>
      <c r="H20" s="3" t="s">
        <v>231</v>
      </c>
    </row>
    <row r="21" spans="1:8" ht="50.4" customHeight="1">
      <c r="A21" s="3" t="s">
        <v>132</v>
      </c>
      <c r="B21" s="3" t="str">
        <f>'Stakeholder Register'!B22</f>
        <v>External Validation Vendor Lead</v>
      </c>
      <c r="C21" s="3" t="str">
        <f>'Stakeholder Register'!H22</f>
        <v>Keep informed</v>
      </c>
      <c r="D21" s="3" t="s">
        <v>232</v>
      </c>
      <c r="E21" s="3" t="s">
        <v>233</v>
      </c>
      <c r="F21" s="3" t="s">
        <v>234</v>
      </c>
      <c r="G21" s="3" t="s">
        <v>235</v>
      </c>
      <c r="H21" s="3" t="s">
        <v>236</v>
      </c>
    </row>
    <row r="22" spans="1:8" ht="50.4" customHeight="1">
      <c r="A22" s="3" t="s">
        <v>138</v>
      </c>
      <c r="B22" s="3" t="str">
        <f>'Stakeholder Register'!B23</f>
        <v>Change &amp; Training Lead</v>
      </c>
      <c r="C22" s="3" t="str">
        <f>'Stakeholder Register'!H23</f>
        <v>Keep informed</v>
      </c>
      <c r="D22" s="3" t="s">
        <v>237</v>
      </c>
      <c r="E22" s="3" t="s">
        <v>238</v>
      </c>
      <c r="F22" s="3" t="s">
        <v>239</v>
      </c>
      <c r="G22" s="3" t="s">
        <v>240</v>
      </c>
      <c r="H22" s="3" t="s">
        <v>241</v>
      </c>
    </row>
    <row r="23" spans="1:8" ht="50.4" customHeight="1">
      <c r="A23" s="3" t="s">
        <v>144</v>
      </c>
      <c r="B23" s="3" t="str">
        <f>'Stakeholder Register'!B24</f>
        <v>Data Governance / Privacy Lead</v>
      </c>
      <c r="C23" s="3" t="str">
        <f>'Stakeholder Register'!H24</f>
        <v>Keep satisfied</v>
      </c>
      <c r="D23" s="3" t="s">
        <v>242</v>
      </c>
      <c r="E23" s="3" t="s">
        <v>243</v>
      </c>
      <c r="F23" s="3" t="s">
        <v>244</v>
      </c>
      <c r="G23" s="3" t="s">
        <v>245</v>
      </c>
      <c r="H23" s="3" t="s">
        <v>246</v>
      </c>
    </row>
  </sheetData>
  <mergeCells count="2">
    <mergeCell ref="A1:H2"/>
    <mergeCell ref="A3:H3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3"/>
  <sheetViews>
    <sheetView tabSelected="1" topLeftCell="A10" workbookViewId="0">
      <selection activeCell="B8" sqref="B8"/>
    </sheetView>
  </sheetViews>
  <sheetFormatPr defaultRowHeight="13.8"/>
  <cols>
    <col min="1" max="1" width="30" customWidth="1"/>
    <col min="2" max="2" width="24" customWidth="1"/>
    <col min="3" max="3" width="71" customWidth="1"/>
    <col min="4" max="6" width="13" customWidth="1"/>
  </cols>
  <sheetData>
    <row r="1" spans="1:6" ht="22.35" customHeight="1">
      <c r="A1" s="6" t="s">
        <v>247</v>
      </c>
      <c r="B1" s="6"/>
      <c r="C1" s="6"/>
      <c r="D1" s="6"/>
      <c r="E1" s="6"/>
      <c r="F1" s="6"/>
    </row>
    <row r="2" spans="1:6" ht="22.35" customHeight="1">
      <c r="A2" s="6"/>
      <c r="B2" s="6"/>
      <c r="C2" s="6"/>
      <c r="D2" s="6"/>
      <c r="E2" s="6"/>
      <c r="F2" s="6"/>
    </row>
    <row r="3" spans="1:6" ht="20.85" customHeight="1">
      <c r="A3" s="7" t="s">
        <v>248</v>
      </c>
      <c r="B3" s="7"/>
      <c r="C3" s="7"/>
      <c r="D3" s="7"/>
      <c r="E3" s="7"/>
      <c r="F3" s="7"/>
    </row>
    <row r="5" spans="1:6">
      <c r="A5" s="4" t="s">
        <v>249</v>
      </c>
      <c r="B5" s="4" t="s">
        <v>250</v>
      </c>
      <c r="C5" s="4" t="s">
        <v>251</v>
      </c>
    </row>
    <row r="6" spans="1:6" ht="24" customHeight="1">
      <c r="A6" s="2" t="s">
        <v>252</v>
      </c>
      <c r="B6" s="2" t="s">
        <v>253</v>
      </c>
      <c r="C6" s="2" t="s">
        <v>254</v>
      </c>
    </row>
    <row r="7" spans="1:6" ht="24" customHeight="1">
      <c r="A7" s="2" t="s">
        <v>252</v>
      </c>
      <c r="B7" s="2" t="s">
        <v>255</v>
      </c>
      <c r="C7" s="2" t="s">
        <v>256</v>
      </c>
    </row>
    <row r="8" spans="1:6" ht="24" customHeight="1">
      <c r="A8" s="2" t="s">
        <v>252</v>
      </c>
      <c r="B8" s="2" t="s">
        <v>257</v>
      </c>
      <c r="C8" s="2" t="s">
        <v>258</v>
      </c>
    </row>
    <row r="9" spans="1:6" ht="24" customHeight="1">
      <c r="A9" s="2" t="s">
        <v>259</v>
      </c>
      <c r="B9" s="2" t="s">
        <v>253</v>
      </c>
      <c r="C9" s="2" t="s">
        <v>260</v>
      </c>
    </row>
    <row r="10" spans="1:6" ht="24" customHeight="1">
      <c r="A10" s="2" t="s">
        <v>259</v>
      </c>
      <c r="B10" s="2" t="s">
        <v>255</v>
      </c>
      <c r="C10" s="2" t="s">
        <v>261</v>
      </c>
    </row>
    <row r="11" spans="1:6" ht="24" customHeight="1">
      <c r="A11" s="2" t="s">
        <v>259</v>
      </c>
      <c r="B11" s="2" t="s">
        <v>257</v>
      </c>
      <c r="C11" s="2" t="s">
        <v>262</v>
      </c>
    </row>
    <row r="12" spans="1:6" ht="24" customHeight="1">
      <c r="A12" s="2" t="s">
        <v>263</v>
      </c>
      <c r="B12" s="2" t="s">
        <v>264</v>
      </c>
      <c r="C12" s="2" t="s">
        <v>265</v>
      </c>
    </row>
    <row r="13" spans="1:6" ht="24" customHeight="1">
      <c r="A13" s="2" t="s">
        <v>263</v>
      </c>
      <c r="B13" s="2" t="s">
        <v>266</v>
      </c>
      <c r="C13" s="2" t="s">
        <v>267</v>
      </c>
    </row>
    <row r="14" spans="1:6" ht="24" customHeight="1">
      <c r="A14" s="2" t="s">
        <v>263</v>
      </c>
      <c r="B14" s="2" t="s">
        <v>63</v>
      </c>
      <c r="C14" s="2" t="s">
        <v>268</v>
      </c>
    </row>
    <row r="15" spans="1:6" ht="24" customHeight="1">
      <c r="A15" s="2" t="s">
        <v>263</v>
      </c>
      <c r="B15" s="2" t="s">
        <v>41</v>
      </c>
      <c r="C15" s="2" t="s">
        <v>269</v>
      </c>
    </row>
    <row r="16" spans="1:6" ht="24" customHeight="1">
      <c r="A16" s="2" t="s">
        <v>263</v>
      </c>
      <c r="B16" s="2" t="s">
        <v>42</v>
      </c>
      <c r="C16" s="2" t="s">
        <v>270</v>
      </c>
    </row>
    <row r="19" spans="1:3">
      <c r="A19" s="4" t="s">
        <v>271</v>
      </c>
      <c r="B19" s="4" t="s">
        <v>272</v>
      </c>
      <c r="C19" s="4" t="s">
        <v>273</v>
      </c>
    </row>
    <row r="20" spans="1:3" ht="25.65" customHeight="1">
      <c r="A20" s="2" t="s">
        <v>7</v>
      </c>
      <c r="B20" s="2" t="s">
        <v>274</v>
      </c>
      <c r="C20" s="2" t="s">
        <v>275</v>
      </c>
    </row>
    <row r="21" spans="1:3" ht="25.65" customHeight="1">
      <c r="A21" s="2" t="s">
        <v>9</v>
      </c>
      <c r="B21" s="2" t="s">
        <v>276</v>
      </c>
      <c r="C21" s="2" t="s">
        <v>277</v>
      </c>
    </row>
    <row r="22" spans="1:3" ht="25.65" customHeight="1">
      <c r="A22" s="2" t="s">
        <v>11</v>
      </c>
      <c r="B22" s="2" t="s">
        <v>278</v>
      </c>
      <c r="C22" s="2" t="s">
        <v>279</v>
      </c>
    </row>
    <row r="23" spans="1:3" ht="25.65" customHeight="1">
      <c r="A23" s="2" t="s">
        <v>12</v>
      </c>
      <c r="B23" s="2" t="s">
        <v>280</v>
      </c>
      <c r="C23" s="2" t="s">
        <v>281</v>
      </c>
    </row>
  </sheetData>
  <mergeCells count="2">
    <mergeCell ref="A1:F2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Stakeholder Register</vt:lpstr>
      <vt:lpstr>Engagement Plan</vt:lpstr>
      <vt:lpstr>Assessment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manju m kaimal</cp:lastModifiedBy>
  <dcterms:modified xsi:type="dcterms:W3CDTF">2026-09-29T06:50:32Z</dcterms:modified>
</cp:coreProperties>
</file>